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anwha\Desktop\Agent AI Designer\00-SRS\"/>
    </mc:Choice>
  </mc:AlternateContent>
  <xr:revisionPtr revIDLastSave="0" documentId="13_ncr:1_{7B433403-7E86-495F-B010-7BDC9E8B9C07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SRS" sheetId="17" r:id="rId1"/>
    <sheet name="제외된 요구사항" sheetId="15" state="hidden" r:id="rId2"/>
  </sheets>
  <definedNames>
    <definedName name="_xlnm._FilterDatabase" localSheetId="0" hidden="1">SRS!$A$1:$K$80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5" l="1"/>
  <c r="A3" i="15"/>
  <c r="A4" i="15"/>
  <c r="E4" i="15"/>
  <c r="E3" i="15"/>
  <c r="A5" i="15"/>
  <c r="E5" i="15"/>
  <c r="A6" i="15"/>
  <c r="E6" i="15"/>
  <c r="A7" i="15"/>
  <c r="E7" i="15"/>
  <c r="A8" i="15"/>
  <c r="E8" i="15"/>
  <c r="A9" i="15"/>
  <c r="E9" i="15"/>
  <c r="A10" i="15"/>
  <c r="E10" i="15"/>
  <c r="A11" i="15"/>
  <c r="A12" i="15"/>
  <c r="E11" i="15"/>
  <c r="A13" i="15"/>
  <c r="E13" i="15"/>
  <c r="E12" i="15"/>
</calcChain>
</file>

<file path=xl/sharedStrings.xml><?xml version="1.0" encoding="utf-8"?>
<sst xmlns="http://schemas.openxmlformats.org/spreadsheetml/2006/main" count="492" uniqueCount="281">
  <si>
    <t>No</t>
    <phoneticPr fontId="1" type="noConversion"/>
  </si>
  <si>
    <t>URS ID</t>
    <phoneticPr fontId="1" type="noConversion"/>
  </si>
  <si>
    <t>대분류</t>
  </si>
  <si>
    <t>중분류</t>
    <phoneticPr fontId="4" type="noConversion"/>
  </si>
  <si>
    <t>소분류</t>
    <phoneticPr fontId="4" type="noConversion"/>
  </si>
  <si>
    <t>SRS
ID</t>
    <phoneticPr fontId="1" type="noConversion"/>
  </si>
  <si>
    <t>요구사항명</t>
  </si>
  <si>
    <t>요구사항내역</t>
  </si>
  <si>
    <t>Pre-Condition</t>
    <phoneticPr fontId="1" type="noConversion"/>
  </si>
  <si>
    <t>Post-Condition</t>
    <phoneticPr fontId="1" type="noConversion"/>
  </si>
  <si>
    <t>BasicFlow</t>
    <phoneticPr fontId="1" type="noConversion"/>
  </si>
  <si>
    <t>AlternativeFlow</t>
    <phoneticPr fontId="1" type="noConversion"/>
  </si>
  <si>
    <t>ExceptionalFlow</t>
    <phoneticPr fontId="1" type="noConversion"/>
  </si>
  <si>
    <t>요구사항
유형</t>
  </si>
  <si>
    <t>중요도</t>
  </si>
  <si>
    <t>변경유형</t>
  </si>
  <si>
    <t>도출단계</t>
  </si>
  <si>
    <t>출처</t>
  </si>
  <si>
    <t>관련
부서</t>
  </si>
  <si>
    <t>변경승인일</t>
  </si>
  <si>
    <t>관련
요구사항ID</t>
  </si>
  <si>
    <t>비고</t>
  </si>
  <si>
    <t>UR-S-01-01</t>
    <phoneticPr fontId="1" type="noConversion"/>
  </si>
  <si>
    <t>기능</t>
    <phoneticPr fontId="1" type="noConversion"/>
  </si>
  <si>
    <t>C</t>
    <phoneticPr fontId="1" type="noConversion"/>
  </si>
  <si>
    <t>다중 클라이언트 접속</t>
    <phoneticPr fontId="1" type="noConversion"/>
  </si>
  <si>
    <t>비기능</t>
    <phoneticPr fontId="1" type="noConversion"/>
  </si>
  <si>
    <t>인증</t>
  </si>
  <si>
    <t>회원가입</t>
  </si>
  <si>
    <t>기능</t>
  </si>
  <si>
    <t>M</t>
  </si>
  <si>
    <t>로그인</t>
  </si>
  <si>
    <t>보안</t>
  </si>
  <si>
    <t>UR-F-03-01</t>
  </si>
  <si>
    <t>데이터 분석 및 조회</t>
    <phoneticPr fontId="1" type="noConversion"/>
  </si>
  <si>
    <t>이력 조회</t>
    <phoneticPr fontId="1" type="noConversion"/>
  </si>
  <si>
    <t>S</t>
    <phoneticPr fontId="1" type="noConversion"/>
  </si>
  <si>
    <t>지식 기반 알람 원인 제공</t>
  </si>
  <si>
    <t>중</t>
    <phoneticPr fontId="1" type="noConversion"/>
  </si>
  <si>
    <t>URS</t>
    <phoneticPr fontId="1" type="noConversion"/>
  </si>
  <si>
    <t>알람</t>
  </si>
  <si>
    <t>S</t>
  </si>
  <si>
    <t>UR-F-02-03</t>
  </si>
  <si>
    <t>질의 응답</t>
    <phoneticPr fontId="1" type="noConversion"/>
  </si>
  <si>
    <t>상</t>
    <phoneticPr fontId="1" type="noConversion"/>
  </si>
  <si>
    <t>파일 업로드</t>
  </si>
  <si>
    <t>이력 보존</t>
  </si>
  <si>
    <t>업로드 이력 기록</t>
  </si>
  <si>
    <t>≥12개월 보존</t>
  </si>
  <si>
    <t>UR-F-04-02</t>
    <phoneticPr fontId="1" type="noConversion"/>
  </si>
  <si>
    <t xml:space="preserve">VectorDB 저장 </t>
    <phoneticPr fontId="1" type="noConversion"/>
  </si>
  <si>
    <t>UR-F-04-03</t>
    <phoneticPr fontId="1" type="noConversion"/>
  </si>
  <si>
    <t>VectorDB 생성</t>
    <phoneticPr fontId="1" type="noConversion"/>
  </si>
  <si>
    <t>도메인 기반 답변</t>
  </si>
  <si>
    <t>체계적 답변 포맷</t>
  </si>
  <si>
    <t>템플릿 기반</t>
  </si>
  <si>
    <t>관련 이미지 제공</t>
  </si>
  <si>
    <t>이미지 DB 필요</t>
  </si>
  <si>
    <t>음성 I/O</t>
  </si>
  <si>
    <t>음성 질의</t>
  </si>
  <si>
    <t>음성 답변</t>
  </si>
  <si>
    <t>발화 시점 호출</t>
  </si>
  <si>
    <t>“발화 시점” 정의</t>
  </si>
  <si>
    <t>하</t>
    <phoneticPr fontId="1" type="noConversion"/>
  </si>
  <si>
    <t>모델 버전 관리</t>
  </si>
  <si>
    <t>C</t>
  </si>
  <si>
    <t>호환성 체크</t>
  </si>
  <si>
    <t>일괄 적용</t>
  </si>
  <si>
    <t>로그</t>
  </si>
  <si>
    <t>로그 관리</t>
  </si>
  <si>
    <t>≥12개월</t>
  </si>
  <si>
    <t>UR-F-08-01</t>
    <phoneticPr fontId="1" type="noConversion"/>
  </si>
  <si>
    <t>자연어 질의를 통한 통계 분석</t>
    <phoneticPr fontId="1" type="noConversion"/>
  </si>
  <si>
    <t>내보내기 (PDF / CSV / 기타)</t>
  </si>
  <si>
    <t>UR-F-10-01</t>
    <phoneticPr fontId="1" type="noConversion"/>
  </si>
  <si>
    <t>DB 선택 기능</t>
    <phoneticPr fontId="1" type="noConversion"/>
  </si>
  <si>
    <t>데이터 소스 선택적 질의</t>
    <phoneticPr fontId="1" type="noConversion"/>
  </si>
  <si>
    <t>피드백</t>
  </si>
  <si>
    <t>피드백 저장</t>
  </si>
  <si>
    <t>이력 관리</t>
  </si>
  <si>
    <t>UR-N-01-01</t>
    <phoneticPr fontId="1" type="noConversion"/>
  </si>
  <si>
    <t>성능</t>
    <phoneticPr fontId="1" type="noConversion"/>
  </si>
  <si>
    <t>텍스트 질의 응답 성능</t>
    <phoneticPr fontId="1" type="noConversion"/>
  </si>
  <si>
    <t>M</t>
    <phoneticPr fontId="1" type="noConversion"/>
  </si>
  <si>
    <t>UR-N-01-02</t>
    <phoneticPr fontId="1" type="noConversion"/>
  </si>
  <si>
    <t>음성 답변 성능</t>
    <phoneticPr fontId="1" type="noConversion"/>
  </si>
  <si>
    <t>UR-N-04-02</t>
    <phoneticPr fontId="1" type="noConversion"/>
  </si>
  <si>
    <t>클라우드 확장</t>
    <phoneticPr fontId="1" type="noConversion"/>
  </si>
  <si>
    <t>UR-N-05-01</t>
    <phoneticPr fontId="1" type="noConversion"/>
  </si>
  <si>
    <t>백업 정책</t>
    <phoneticPr fontId="1" type="noConversion"/>
  </si>
  <si>
    <t>UR-N-06-01</t>
    <phoneticPr fontId="1" type="noConversion"/>
  </si>
  <si>
    <t>모델/버전 업데이트 시 연속성 보장</t>
    <phoneticPr fontId="1" type="noConversion"/>
  </si>
  <si>
    <t>요구사항
ID</t>
    <phoneticPr fontId="1" type="noConversion"/>
  </si>
  <si>
    <t>중요
도</t>
  </si>
  <si>
    <t>난이
도</t>
  </si>
  <si>
    <t>물류현황</t>
  </si>
  <si>
    <t>완제품 창고 현황</t>
    <phoneticPr fontId="8" type="noConversion"/>
  </si>
  <si>
    <t>설비 가동 현황</t>
    <phoneticPr fontId="8" type="noConversion"/>
  </si>
  <si>
    <t>RGV(입/출고장), Gantry, S/C 정상 동작 여부 파악, CCTV 영상으로 가동 확인</t>
  </si>
  <si>
    <r>
      <rPr>
        <b/>
        <sz val="10"/>
        <color rgb="FF000000"/>
        <rFont val="한화고딕 EL"/>
        <family val="1"/>
        <charset val="129"/>
      </rPr>
      <t xml:space="preserve">설비 가동 현황(하단)
</t>
    </r>
    <r>
      <rPr>
        <sz val="10"/>
        <color rgb="FF000000"/>
        <rFont val="한화고딕 EL"/>
        <family val="1"/>
        <charset val="129"/>
      </rPr>
      <t xml:space="preserve">- 설비별 </t>
    </r>
    <r>
      <rPr>
        <sz val="10"/>
        <color rgb="FFC00000"/>
        <rFont val="한화고딕 EL"/>
        <family val="1"/>
        <charset val="129"/>
      </rPr>
      <t>시간가동률</t>
    </r>
    <r>
      <rPr>
        <sz val="10"/>
        <color rgb="FF000000"/>
        <rFont val="한화고딕 EL"/>
        <family val="1"/>
        <charset val="129"/>
      </rPr>
      <t>을 한 눈에 파악할 수 있도록 그래프 사용
- 설비별 가동상태 및 가동률을 확인하고, CCTV를 볼 수 있는 인터페이스 제공
- CCTV 버튼 누르면 영상 화면 볼 수 있도록 팝업 발생
- 월간/주간/일간 설비 가동 현황 조회</t>
    </r>
  </si>
  <si>
    <t>Webserver가 실행되어 있다 
WAS가 실행되어있다 
데이터수집기가 실행되어있다
로그인이 정상적으로 되어있다</t>
    <phoneticPr fontId="1" type="noConversion"/>
  </si>
  <si>
    <t>삭제</t>
    <phoneticPr fontId="1" type="noConversion"/>
  </si>
  <si>
    <t>분석/설계</t>
  </si>
  <si>
    <t>ITS사업부</t>
    <phoneticPr fontId="1" type="noConversion"/>
  </si>
  <si>
    <t>제품출고현황</t>
    <phoneticPr fontId="8" type="noConversion"/>
  </si>
  <si>
    <t>텔레스코프별
출고현황</t>
  </si>
  <si>
    <t>텔레스코프별 오더량, 현적재량, 잔량 조회</t>
  </si>
  <si>
    <r>
      <rPr>
        <b/>
        <sz val="10"/>
        <color rgb="FF000000"/>
        <rFont val="한화고딕 EL"/>
        <family val="1"/>
        <charset val="129"/>
      </rPr>
      <t xml:space="preserve">텔레스코프별 출고 현황 표시
</t>
    </r>
    <r>
      <rPr>
        <sz val="10"/>
        <color rgb="FF000000"/>
        <rFont val="한화고딕 EL"/>
        <family val="1"/>
        <charset val="129"/>
      </rPr>
      <t>- 텔레스코프별 제품 출고 현황을 표시
- 동작상태 및 오더량, 현재 적재량 및 잔량 표시</t>
    </r>
  </si>
  <si>
    <t>설비별 가동 현황 조회</t>
  </si>
  <si>
    <t>생산/운영</t>
  </si>
  <si>
    <t>S/C Cycle Time</t>
    <phoneticPr fontId="8" type="noConversion"/>
  </si>
  <si>
    <t>S/C 이상 현황</t>
  </si>
  <si>
    <t>비정상 S/C 현황 조회, Cycle Time초과한 S/C 파악</t>
  </si>
  <si>
    <t>공장 내 모든 S/C의 이상발생 현황 조회
- 위치, S/C ID, 발생일시, 시작위치, 종료위치, 현재위치, 확인여부
- 상세보기 팝업 제공</t>
  </si>
  <si>
    <t>S/C 상세 팝업</t>
    <phoneticPr fontId="8" type="noConversion"/>
  </si>
  <si>
    <t>S/C 리스트 선택시 상세 정보</t>
  </si>
  <si>
    <r>
      <rPr>
        <b/>
        <sz val="10"/>
        <color rgb="FF000000"/>
        <rFont val="한화고딕 EL"/>
        <family val="1"/>
        <charset val="129"/>
      </rPr>
      <t xml:space="preserve">상세보기 팝업
</t>
    </r>
    <r>
      <rPr>
        <sz val="10"/>
        <color rgb="FF000000"/>
        <rFont val="한화고딕 EL"/>
        <family val="1"/>
        <charset val="129"/>
      </rPr>
      <t>- 위치, S/C ID, 발생일시, 시작위치, 종료위치, 현재위치, 확인여부 + CCTV 영상</t>
    </r>
  </si>
  <si>
    <t>리포트</t>
  </si>
  <si>
    <t>시간가동률</t>
  </si>
  <si>
    <t>이전 달 설비 시간 가동률 리포트</t>
  </si>
  <si>
    <t>설비별 시간가동률: 지난달 및 n개월 시간가동률 추이</t>
  </si>
  <si>
    <t>설비 이상 내역</t>
  </si>
  <si>
    <t>이전 달 설비 이상 내역 리포트</t>
  </si>
  <si>
    <t>설비 이상 내역: 최근 한 달 간 이상 내역 리스트 표시</t>
  </si>
  <si>
    <t>환경/에너지</t>
  </si>
  <si>
    <t>전력 사용 현황</t>
  </si>
  <si>
    <t>설비별 전력 사용 현황</t>
  </si>
  <si>
    <t>현재 전력사용량, 최근 1개월 간 일별 전력 사용량 및 누적 사용량 표현</t>
  </si>
  <si>
    <t>온습도 현황</t>
  </si>
  <si>
    <t>창고 내 온습도 현황</t>
  </si>
  <si>
    <t>현재 온습도, '최근 1개월 간 온습도 데이터를 그래프로 표현</t>
  </si>
  <si>
    <t>시스템</t>
  </si>
  <si>
    <t>CCTV</t>
    <phoneticPr fontId="8" type="noConversion"/>
  </si>
  <si>
    <t>CCTV 목록 조회</t>
  </si>
  <si>
    <t>공장 내 설치된 모든 CCTV 목록 조회, 구역별, 장비별 소팅/필터</t>
  </si>
  <si>
    <t>CCTV 보기</t>
  </si>
  <si>
    <t>CCTV 영상 보기</t>
  </si>
  <si>
    <t>CCTV로부터 송출되는 영상을 출력</t>
  </si>
  <si>
    <t>기타</t>
  </si>
  <si>
    <t>시스템 연계 및 관리</t>
    <phoneticPr fontId="8" type="noConversion"/>
  </si>
  <si>
    <t>시스템 연계</t>
    <phoneticPr fontId="8" type="noConversion"/>
  </si>
  <si>
    <t>MES/WMS/ERP 정보 연계</t>
    <phoneticPr fontId="8" type="noConversion"/>
  </si>
  <si>
    <t>중분류</t>
    <phoneticPr fontId="2" type="noConversion"/>
  </si>
  <si>
    <t>사용성</t>
  </si>
  <si>
    <t>SR-S-01-01-01</t>
  </si>
  <si>
    <t>UR-S-02-01</t>
  </si>
  <si>
    <t>사용자 관리</t>
  </si>
  <si>
    <t>SR-S-02-01-01</t>
  </si>
  <si>
    <t>SR-S-02-01-02</t>
  </si>
  <si>
    <t>데이터 조회</t>
  </si>
  <si>
    <t>선제 대응</t>
  </si>
  <si>
    <t>SR-F-02-01-01</t>
  </si>
  <si>
    <t>UR-F-02-02</t>
  </si>
  <si>
    <t>SR-F-02-02-01</t>
  </si>
  <si>
    <t>SR-F-02-02-02</t>
  </si>
  <si>
    <t>SR-F-02-03-01</t>
  </si>
  <si>
    <t>근거 기반 답변</t>
  </si>
  <si>
    <t>SR-F-03-01-01</t>
  </si>
  <si>
    <t>SR-F-03-01-02</t>
  </si>
  <si>
    <t>SR-F-03-01-03</t>
  </si>
  <si>
    <t>UR-F-04-01</t>
  </si>
  <si>
    <t>자료 업로드</t>
  </si>
  <si>
    <t>파일 관리</t>
  </si>
  <si>
    <t>SR-F-04-01-01</t>
  </si>
  <si>
    <t>SR-F-04-01-02</t>
  </si>
  <si>
    <t>자료 관리</t>
  </si>
  <si>
    <t>SR-F-04-02-01</t>
  </si>
  <si>
    <t>SR-F-04-03-01</t>
  </si>
  <si>
    <t>UR-F-05-01</t>
  </si>
  <si>
    <t>특수 지식 기반 채팅</t>
  </si>
  <si>
    <t>질의 응답</t>
  </si>
  <si>
    <t>SR-F-05-01-01</t>
  </si>
  <si>
    <t>SR-F-05-01-02</t>
  </si>
  <si>
    <t>SR-F-05-01-03</t>
  </si>
  <si>
    <t>UR-F-06-01</t>
  </si>
  <si>
    <t>SR-F-06-01-01</t>
  </si>
  <si>
    <t>UR-F-06-02</t>
  </si>
  <si>
    <t>SR-F-06-02-01</t>
  </si>
  <si>
    <t>UR-F-06-03</t>
  </si>
  <si>
    <t>SR-F-06-03-01</t>
  </si>
  <si>
    <t>UR-F-07-01</t>
  </si>
  <si>
    <t>모델 관리</t>
  </si>
  <si>
    <t>인가</t>
  </si>
  <si>
    <t>운영 및 관리</t>
  </si>
  <si>
    <t>SR-F-07-01-05</t>
  </si>
  <si>
    <t>통계치 분석</t>
  </si>
  <si>
    <t>데이터 분석 및 시각화</t>
  </si>
  <si>
    <t>SR-F-08-01-01</t>
  </si>
  <si>
    <t>SR-F-08-01-02</t>
  </si>
  <si>
    <t>UR-F-09-01</t>
  </si>
  <si>
    <t>분석 결과</t>
  </si>
  <si>
    <t>리포팅</t>
  </si>
  <si>
    <t>SR-F-09-01-01</t>
  </si>
  <si>
    <t>데이터 라우팅</t>
  </si>
  <si>
    <t>사용자 설정</t>
  </si>
  <si>
    <t>SR-F-10-01-01</t>
  </si>
  <si>
    <t>UR-F-10-01</t>
  </si>
  <si>
    <t>SR-F-10-01-02</t>
  </si>
  <si>
    <t>UR-F-11-01</t>
  </si>
  <si>
    <t>답변 검증 및 개선</t>
  </si>
  <si>
    <t>SR-F-11-01-01</t>
  </si>
  <si>
    <t>UR-F-12-01</t>
  </si>
  <si>
    <t>SR-F-12-01-01</t>
  </si>
  <si>
    <t>성능</t>
  </si>
  <si>
    <t>SR-N-01-01-01</t>
  </si>
  <si>
    <t>SR-N-01-02-01</t>
  </si>
  <si>
    <t>이식성</t>
  </si>
  <si>
    <t>아키텍처</t>
  </si>
  <si>
    <t>SR-N-04-02-01</t>
  </si>
  <si>
    <t>백업</t>
  </si>
  <si>
    <t>신뢰성 및 가용성</t>
  </si>
  <si>
    <t>SR-N-05-01-01</t>
  </si>
  <si>
    <t>확장성</t>
  </si>
  <si>
    <t>SR-N-06-01-01</t>
  </si>
  <si>
    <t>음성인식 팝업 호출</t>
    <phoneticPr fontId="1" type="noConversion"/>
  </si>
  <si>
    <t>DB 기반 통계치 분석</t>
    <phoneticPr fontId="1" type="noConversion"/>
  </si>
  <si>
    <t>자연어 명령 인터페이스</t>
    <phoneticPr fontId="1" type="noConversion"/>
  </si>
  <si>
    <t>기능</t>
    <phoneticPr fontId="1" type="noConversion"/>
  </si>
  <si>
    <t xml:space="preserve"> S</t>
    <phoneticPr fontId="1" type="noConversion"/>
  </si>
  <si>
    <t>파일 정책</t>
    <phoneticPr fontId="1" type="noConversion"/>
  </si>
  <si>
    <t>UR-F-02-01</t>
    <phoneticPr fontId="1" type="noConversion"/>
  </si>
  <si>
    <t>UR-F-03-01</t>
    <phoneticPr fontId="1" type="noConversion"/>
  </si>
  <si>
    <t>M</t>
    <phoneticPr fontId="1" type="noConversion"/>
  </si>
  <si>
    <t>C</t>
    <phoneticPr fontId="1" type="noConversion"/>
  </si>
  <si>
    <t>해당 기능은 현장의 네트워크 개방에 따라 구현 가능 여부가 변칙적임</t>
    <phoneticPr fontId="1" type="noConversion"/>
  </si>
  <si>
    <t>S</t>
    <phoneticPr fontId="1" type="noConversion"/>
  </si>
  <si>
    <t>질의 이력 조회 및 삭제</t>
    <phoneticPr fontId="1" type="noConversion"/>
  </si>
  <si>
    <t>비기능</t>
    <phoneticPr fontId="1" type="noConversion"/>
  </si>
  <si>
    <t>UR-F-07-01</t>
    <phoneticPr fontId="1" type="noConversion"/>
  </si>
  <si>
    <t>관리자
페이지</t>
    <phoneticPr fontId="1" type="noConversion"/>
  </si>
  <si>
    <t>명령 인터페이스</t>
    <phoneticPr fontId="1" type="noConversion"/>
  </si>
  <si>
    <t>UR-F-06-04</t>
    <phoneticPr fontId="1" type="noConversion"/>
  </si>
  <si>
    <t>SR-F-06-04-01</t>
    <phoneticPr fontId="1" type="noConversion"/>
  </si>
  <si>
    <t>SR-S-07-01-01</t>
    <phoneticPr fontId="1" type="noConversion"/>
  </si>
  <si>
    <t>SR-F-07-01-02</t>
    <phoneticPr fontId="1" type="noConversion"/>
  </si>
  <si>
    <t>SR-F-07-01-03</t>
    <phoneticPr fontId="1" type="noConversion"/>
  </si>
  <si>
    <t>이력 관리</t>
    <phoneticPr fontId="1" type="noConversion"/>
  </si>
  <si>
    <r>
      <t xml:space="preserve">다중(최대 5인) 클라이언트 접속
</t>
    </r>
    <r>
      <rPr>
        <sz val="10"/>
        <color theme="1"/>
        <rFont val="맑은 고딕"/>
        <family val="3"/>
        <charset val="129"/>
        <scheme val="minor"/>
      </rPr>
      <t>- MOA 서버는 다수의 사용자가 웹 브라우저를 통해 동시에 접속하여 서비스를 이용하는 상황에도 성능을 유지해야 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</si>
  <si>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필수 정보를 이용한 신규 계정 생성
</t>
    </r>
    <r>
      <rPr>
        <sz val="10"/>
        <color theme="1"/>
        <rFont val="맑은 고딕"/>
        <family val="3"/>
        <charset val="129"/>
        <scheme val="minor"/>
      </rPr>
      <t xml:space="preserve">- 사용자의 계정을 생성하는 기능을 제공한다. 
- 신규 사용자는 이메일/비밀번호/이름(필수)로 가입할 수 있어야 한다. 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</si>
  <si>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자격 증명 (ID/PW)을 통한 사용자 인증
</t>
    </r>
    <r>
      <rPr>
        <sz val="10"/>
        <color theme="1"/>
        <rFont val="맑은 고딕"/>
        <family val="3"/>
        <charset val="129"/>
        <scheme val="minor"/>
      </rPr>
      <t>- 사용자의 신원을 증명하는 절차를 제공한다.(로그인)
- 사용자는 아이디와 비밀번호를 입력하여 로그인한다.
- 서버는 전달받은 자격 증명을 검증한다.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</si>
  <si>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발생한 알람에 대한 처리 가이드 제공
</t>
    </r>
    <r>
      <rPr>
        <sz val="10"/>
        <color theme="1"/>
        <rFont val="맑은 고딕"/>
        <family val="3"/>
        <charset val="129"/>
        <scheme val="minor"/>
      </rPr>
      <t>- 알람 발생 시, 알람 코드·유형·심각도에 따라 자동으로 대응 가이드를 조회하고 사용자에게 제시해야 한다.
- 대응 가이드는 내부 DB(또는 VectorDB)에 사전 등록된 내용을 기반으로 조회된다.
- 가이드 조회 실패 시, “등록된 가이드 없음” 메시지를 출력하고 관리자 알림을 생성한다.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</si>
  <si>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설비 제어 자연어 명령 인터페이스</t>
    </r>
    <r>
      <rPr>
        <sz val="10"/>
        <color theme="1"/>
        <rFont val="맑은 고딕"/>
        <family val="3"/>
        <charset val="129"/>
        <scheme val="minor"/>
      </rPr>
      <t xml:space="preserve">
- 시스템은 다른 관제 시스템에 제어 명령을 전달할 수 있는 자연어 입력 인터페이스 및 제어 명령 변환 기능을 제공해야 한다.
- 시스템은 권한을 가진 사용자에 한해서만 자연어 명령을 제어 명령으로 변환하여 관제 시스템과 통신해야 한다. 
- 사용자는 관제 시스템으로의 제어 명령이 전송된 이력과 처리 결과를 채팅창을 통해 확인할 수 있어야 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</si>
  <si>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자연어 질의를 통한 이벤트 이력 검색
</t>
    </r>
    <r>
      <rPr>
        <sz val="10"/>
        <color theme="1"/>
        <rFont val="맑은 고딕"/>
        <family val="3"/>
        <charset val="129"/>
        <scheme val="minor"/>
      </rPr>
      <t>- 사용자는 자연어 질의를 통해 특정 조건(설비, 기간, 알람 코드 등)에 해당하는 이벤트(알람 등)의 발생 이력을 조회할 수 있다.
- 시스템은 사용자의 질의를 해석하여 조건에 맞는 데이터를 DB에서 검색한다.
- 시스템은 검색된 이력 데이터를 시간 순서에 따라 사용자에게 제공한다.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</si>
  <si>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지식 기반 알람 원인 및 해결 방안 자연어 제공
</t>
    </r>
    <r>
      <rPr>
        <sz val="10"/>
        <color theme="1"/>
        <rFont val="맑은 고딕"/>
        <family val="3"/>
        <charset val="129"/>
        <scheme val="minor"/>
      </rPr>
      <t>- 사용자가 특정 알람에 대한 원인 및 해결 방안을 자연어로 질의할 수 있다.
- 시스템은 발생한 알람의 정보를 식별한다.
- 시스템은 식별된 정보를 키워드로 사용하여, 사전에 학습 및 등록된 지식 베이스(SOP, 표준 레시피, 트러블슈팅 매뉴얼 등)에서 가장 연관성 높은 내용을 검색한다.
- 시스템은 검색된 문서의 내용을 바탕으로, 해당 알람이 발생하는 주요 원인와 표준 조치 절차를 정리하여 사용자에게 자연어로 제공한다.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</si>
  <si>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사용자 질문에 대한 AI 모델 기반 답변 제공
</t>
    </r>
    <r>
      <rPr>
        <sz val="10"/>
        <color theme="1"/>
        <rFont val="맑은 고딕"/>
        <family val="3"/>
        <charset val="129"/>
        <scheme val="minor"/>
      </rPr>
      <t>- 사용자가 자연어로 질문 시, 시스템은 문서, 로그, 도메인 지식 등의 데이터베이스를 탐색하여 근거가 포함된 통합 답변을 생성한다.
- 답변의 출처를 함께 제공해야 한다.
- 이미지가 검색된 경우, 텍스트 설명과 함께 시각적 참고 자료를 표시한다.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</si>
  <si>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사용자 인터페이스를 통한 파일 업로드 및 유효성 검증
</t>
    </r>
    <r>
      <rPr>
        <sz val="10"/>
        <color theme="1"/>
        <rFont val="맑은 고딕"/>
        <family val="3"/>
        <charset val="129"/>
        <scheme val="minor"/>
      </rPr>
      <t>- 사용자는 채팅창 내 업로드 영역을 통해 질의에 필요한 문서를 업로드할 수 있어야 한다.
- 파일 업로드는 Drag &amp; Drop 방식과 파일 탐색기 선택 방식을 모두 지원한다.
- 업로드 요청 시 서버는 파일의 확장자, 용량을 검증한 후 허용된 파일만 저장한다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</si>
  <si>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파일 업로드 메타데이터 및 감사 추적 이력 기록
</t>
    </r>
    <r>
      <rPr>
        <sz val="10"/>
        <color theme="1"/>
        <rFont val="맑은 고딕"/>
        <family val="3"/>
        <charset val="129"/>
        <scheme val="minor"/>
      </rPr>
      <t>- 파일 업로드 성공 시 시스템은 업로드 이력을 저장해야 한다.
- 저장되는 메타데이터는 파일명, 확장자, 업로더 식별값, 업로드 시각, 저장 경로를 포함한다.
- 업로드 이력은 감사·추적 목적을 위해 최소 1개월 이상 보존되어야 한다.</t>
    </r>
    <phoneticPr fontId="1" type="noConversion"/>
  </si>
  <si>
    <r>
      <rPr>
        <b/>
        <sz val="10"/>
        <color rgb="FF000000"/>
        <rFont val="맑은 고딕"/>
        <family val="3"/>
        <charset val="129"/>
        <scheme val="minor"/>
      </rPr>
      <t xml:space="preserve">업로드 파일의 벡터 변환 및 VectorDB 저장
</t>
    </r>
    <r>
      <rPr>
        <sz val="10"/>
        <color rgb="FF000000"/>
        <rFont val="맑은 고딕"/>
        <family val="3"/>
        <charset val="129"/>
        <scheme val="minor"/>
      </rPr>
      <t>- 업로드된 자료 내용의 벡터화 및 메타데이터를 추출하여 저장한다.
- 저장된 벡터 및 메타 데이터는 이후 모델 답변에 활용될 수 있어야 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</si>
  <si>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사용자 정의 목적별 VectorDB 생성 및 관리
</t>
    </r>
    <r>
      <rPr>
        <sz val="10"/>
        <color theme="1"/>
        <rFont val="맑은 고딕"/>
        <family val="3"/>
        <charset val="129"/>
        <scheme val="minor"/>
      </rPr>
      <t xml:space="preserve">- 사용자는 목적에 따라 별도의 VectorDB를 생성할 수 있어야 한다. 
- 생성된 DB는 추후 벡터화된 업로드 자료를 저장할 수 있어야한다. 
- 생성된 DB는 별칭으로 관리할 수 있어야 한다. 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</si>
  <si>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도메인 특화 지식 베이스를 활용한 답변 생성
</t>
    </r>
    <r>
      <rPr>
        <sz val="10"/>
        <color theme="1"/>
        <rFont val="맑은 고딕"/>
        <family val="3"/>
        <charset val="129"/>
        <scheme val="minor"/>
      </rPr>
      <t>- 설비 매뉴얼·SOP(Standard Operating Procedure)·트러블슈팅 문서 등 도메인 지식 DB와 기입력된 문서를 기반으로 답변을 생성해야 한다.
- 답변 생성 시 검색된 문서의 유사도를 기반으로 가장 관련성 높은 자료를 우선 반영한다.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</si>
  <si>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사전 정의된 템플릿 기반 답변 구조화
</t>
    </r>
    <r>
      <rPr>
        <sz val="10"/>
        <color theme="1"/>
        <rFont val="맑은 고딕"/>
        <family val="3"/>
        <charset val="129"/>
        <scheme val="minor"/>
      </rPr>
      <t>- AI가 생성하는 답변은 구조화된 템플릿을 따른다.
- 답변 생성 시 해당 구조가 자동 적용되며, 각 항목은 구분선 또는 헤더로 시각적으로 구분된다.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</si>
  <si>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답변 내용과 연관된 시각 자료(이미지) 제공
</t>
    </r>
    <r>
      <rPr>
        <sz val="10"/>
        <color theme="1"/>
        <rFont val="맑은 고딕"/>
        <family val="3"/>
        <charset val="129"/>
        <scheme val="minor"/>
      </rPr>
      <t>- AI가 생성한 답변에는 (자료가 있을 시)해당 장비·부품·공정의 이미지를 함께 표시해야 한다.
- 이미지 데이터는 별도의 이미지 DB 또는 파일 스토리지와 연동하여 조회한다.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</si>
  <si>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실시간 음성 입력 및 텍스트 변환
</t>
    </r>
    <r>
      <rPr>
        <sz val="10"/>
        <color theme="1"/>
        <rFont val="맑은 고딕"/>
        <family val="3"/>
        <charset val="129"/>
        <scheme val="minor"/>
      </rPr>
      <t>- 사용자는 마이크를 통해 질의를 실시간 음성으로 입력할 수 있어야 한다.
- 수집된 음성은 STT(Speech-To-Text) 엔진을 통해 텍스트로 변환된다.
- 변환된 텍스트는 자동으로 질의 입력창에 표시되며, AI 질의 요청으로 전달된다.
- STT 엔진은 클라우드 또는 온디바이스 방식으로 동작할 수 있어야한다.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</si>
  <si>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답변의 음성 합성 (TTS) 및 재생
</t>
    </r>
    <r>
      <rPr>
        <sz val="10"/>
        <color theme="1"/>
        <rFont val="맑은 고딕"/>
        <family val="3"/>
        <charset val="129"/>
        <scheme val="minor"/>
      </rPr>
      <t xml:space="preserve">- AI가 생성한 텍스트 답변을 TTS(Text-To-Speech) 엔진을 통해 음성으로 변환하고 재생해야 한다.
- TTS 엔진은 클라우드 또는 온디바이스 방식으로 동작할 수 있어야 한다. 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</si>
  <si>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핫워드 (Hotword)를 통한 음성 인터페이스 활성화
</t>
    </r>
    <r>
      <rPr>
        <sz val="10"/>
        <color theme="1"/>
        <rFont val="맑은 고딕"/>
        <family val="3"/>
        <charset val="129"/>
        <scheme val="minor"/>
      </rPr>
      <t>- 사용자는 핫워드(예: “하이 모아”) 또는 버튼 클릭을 통해 음성 입력을 시작할 수 있다.
- 발화 트리거가 감지되면 STT 모듈이 즉시 활성화되어 음성 인식이 시작된다.
- 호출 성공 시 모델은 자동으로 AI 응답 흐름(STT → 질의 → TTS)으로 전환된다.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</si>
  <si>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발화에 따른 웹 사이트 열람</t>
    </r>
    <r>
      <rPr>
        <sz val="10"/>
        <color theme="1"/>
        <rFont val="맑은 고딕"/>
        <family val="3"/>
        <charset val="129"/>
        <scheme val="minor"/>
      </rPr>
      <t xml:space="preserve">
- 음성 인터페이스가 활성화된 상태에서 사용자가 특정 음성을 발화 시, 해당 음성에 대한 특정 웹 사이트를 브라우저로 띄운다.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</si>
  <si>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관리자 이력 관리
</t>
    </r>
    <r>
      <rPr>
        <sz val="10"/>
        <color theme="1"/>
        <rFont val="맑은 고딕"/>
        <family val="3"/>
        <charset val="129"/>
        <scheme val="minor"/>
      </rPr>
      <t>- 해당 시스템의 사용자는 관리자와 일반 사용자로 구분하며, 일반 사용자는 접근할 수 없는 관리자 페이지를 구현한다.
- 관리자 페이지에서는 일반 사용자의 정보, 로그인 및 사용 이력, 파일 업/다운로드 및 삭제 이력, 질의 이력을 조회할 수 있다.
- 관리자는 일반 사용자의 서비스 이용을 제지할 수 있어야 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</si>
  <si>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AI모델 버전의 등록, 변경 및 이력 관리
</t>
    </r>
    <r>
      <rPr>
        <sz val="10"/>
        <color theme="1"/>
        <rFont val="맑은 고딕"/>
        <family val="3"/>
        <charset val="129"/>
        <scheme val="minor"/>
      </rPr>
      <t>- 관리자는 등록된 AI 모델 버전을 등록, 조회, 변경 할 수 있어야 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</si>
  <si>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사용자 파일 사용 제한 정책
</t>
    </r>
    <r>
      <rPr>
        <sz val="10"/>
        <color theme="1"/>
        <rFont val="맑은 고딕"/>
        <family val="3"/>
        <charset val="129"/>
        <scheme val="minor"/>
      </rPr>
      <t>- 관리자는 네거티브(negative) 정책을 통해 사용자의 파일 업로드나 다운로드, 삭제 등을 제약할 수 있어야 한다.
- 사용자는 파일 업로드, 다운로드, 삭제 이력을 조회할 수 있어야 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</si>
  <si>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주요 시스템 이벤트 로그의 검색 및 필터링
</t>
    </r>
    <r>
      <rPr>
        <sz val="10"/>
        <color theme="1"/>
        <rFont val="맑은 고딕"/>
        <family val="3"/>
        <charset val="129"/>
        <scheme val="minor"/>
      </rPr>
      <t>- 관리자는 로그인, 오류, 알람 등 주요 이벤트 로그에 대하여 기간·사용자·리소스 등의 정보를 조회할 수 있어야 한다.
- 기간과 사용자 기준에 대한 정렬 및 필터 기능을 지원해야 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</si>
  <si>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DB 기반 사용자 정의 조건 통계 분석 및 시각화
</t>
    </r>
    <r>
      <rPr>
        <sz val="10"/>
        <color theme="1"/>
        <rFont val="맑은 고딕"/>
        <family val="3"/>
        <charset val="129"/>
        <scheme val="minor"/>
      </rPr>
      <t>- 시스템은 지정된 설비 DB에 연결하여, 사용자가 지정한 기간, 변수, 조건에 따라 통계값을 산출할 수 있어야 한다.
- 그래프 형태로 제공 가능한 결과라면, 시각화하여 그래프 형태로 제공할 수 있어야 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</si>
  <si>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자연어 질의를 통한 공정/설비 데이터 통계 분석
</t>
    </r>
    <r>
      <rPr>
        <sz val="10"/>
        <color theme="1"/>
        <rFont val="맑은 고딕"/>
        <family val="3"/>
        <charset val="129"/>
        <scheme val="minor"/>
      </rPr>
      <t>- 사용자는 채팅 인터페이스에 자연어로 데이터 분석을 요청할 수 있다.
- 시스템은 사용자의 자연어 질의 내용을 바탕으로 연결된 DB(MES, 설비 데이터 등)에서 관련 데이터를 조회한다.
- 시스템은 사용자가 요구할 시 분석된 통계 결과를 차트, 표 등 시각적 형태로 가공하여 사용자에게 제공한다.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</si>
  <si>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분석 결과 및 대화 내용 파일 (PDF/CSV) 내보내기
</t>
    </r>
    <r>
      <rPr>
        <sz val="10"/>
        <color theme="1"/>
        <rFont val="맑은 고딕"/>
        <family val="3"/>
        <charset val="129"/>
        <scheme val="minor"/>
      </rPr>
      <t>- 사용자는 대화, 답변, 근거 등의 데이터를 PDF, CSV 를 포함한 형식으로 내보내기할 수 있어야 한다.
- 내보내기 완료 후 사용자는 로컬에 저장할 수 있다.</t>
    </r>
    <phoneticPr fontId="1" type="noConversion"/>
  </si>
  <si>
    <r>
      <rPr>
        <b/>
        <sz val="10"/>
        <color rgb="FF000000"/>
        <rFont val="맑은 고딕"/>
        <family val="3"/>
        <charset val="129"/>
        <scheme val="minor"/>
      </rPr>
      <t xml:space="preserve">답변 생성을 위한 대상 데이터베이스 선택 기능
</t>
    </r>
    <r>
      <rPr>
        <sz val="10"/>
        <color rgb="FF000000"/>
        <rFont val="맑은 고딕"/>
        <family val="3"/>
        <charset val="129"/>
        <scheme val="minor"/>
      </rPr>
      <t xml:space="preserve">- 기본 Default : 질문 시 답변에 반영할 DB를 자동으로 선택하여 검색
- 사용자가 원하는 경우 : 질문 시 답변에 반영할 원하는 DB 선택하여 해당 DB를 우선으로 검색함 </t>
    </r>
    <phoneticPr fontId="1" type="noConversion"/>
  </si>
  <si>
    <r>
      <t xml:space="preserve">검색 범위 한정
</t>
    </r>
    <r>
      <rPr>
        <sz val="10"/>
        <color theme="1"/>
        <rFont val="맑은 고딕"/>
        <family val="3"/>
        <charset val="129"/>
        <scheme val="minor"/>
      </rPr>
      <t xml:space="preserve">- 사용자는 질의 시 특정 데이터 소스**를 명시하여 검색 범위를 한정할 수 있어야 한다.
- 데이터 소스는 사용자 화면상의 드롭다운 메뉴 등 UI를 기반으로 지정할 수 있어야 한다.
- 시스템은 지정된 데이터 소스내에서만 정보를 검색하여 결과를 제공해야 한다.
- 데이터 소스가 지정된 채로 답변을 생성한 경우, 답변 말미에 벡터 DB내 어떤 문서에 근거하여 답변했는지 출처를 분명히 해야 한다.
</t>
    </r>
    <r>
      <rPr>
        <b/>
        <sz val="10"/>
        <color theme="1"/>
        <rFont val="맑은 고딕"/>
        <family val="3"/>
        <charset val="129"/>
        <scheme val="minor"/>
      </rPr>
      <t xml:space="preserve">** 데이터 소스 예시: </t>
    </r>
    <r>
      <rPr>
        <sz val="10"/>
        <color theme="1"/>
        <rFont val="맑은 고딕"/>
        <family val="3"/>
        <charset val="129"/>
        <scheme val="minor"/>
      </rPr>
      <t>사용자가 파일을  업로드함으로써 생성되는 커스텀 Vector DB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</si>
  <si>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사용자 만족도 피드백 수집
</t>
    </r>
    <r>
      <rPr>
        <sz val="10"/>
        <color theme="1"/>
        <rFont val="맑은 고딕"/>
        <family val="3"/>
        <charset val="129"/>
        <scheme val="minor"/>
      </rPr>
      <t>- AI가 생성한 답변 카드가 화면에 표시될 때, 사용자 피드백용 좋아요/싫어요 버튼을 함께 표시한다.
- 사용자는 버튼 클릭을 통해 해당 답변의 품질에 대한 의견을 표시할 수 있다.
- 사용자가 클릭한 피드백(좋아요/싫어요)은 서버로 전송되어 DB에 기록되어야 한다.
- 저장 시 사용자 식별자, 답변 ID 등의 정보가 함께 저장된다.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</si>
  <si>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과거 질의 이력 검색 및 조회, 삭제
</t>
    </r>
    <r>
      <rPr>
        <sz val="10"/>
        <color theme="1"/>
        <rFont val="맑은 고딕"/>
        <family val="3"/>
        <charset val="129"/>
        <scheme val="minor"/>
      </rPr>
      <t>- 사용자는 과거에 입력한 질의 내역을 기간 또는 키워드 조건으로 조회할 수 있어야 한다.
- 사용자는 과거 질의 또는 응답 이력을 개별 혹은 다중 선택하여 삭제할 수 있어야 한다.
- 이력의 삭제는 소프트하게 삭제 한다. (Soft Delete, 데이터는 남겨두되 플래그로 사용자에게 보이지 않게 함)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</si>
  <si>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텍스트 기반 질의 응답 시간 성능</t>
    </r>
    <r>
      <rPr>
        <sz val="10"/>
        <color theme="1"/>
        <rFont val="맑은 고딕"/>
        <family val="3"/>
        <charset val="129"/>
        <scheme val="minor"/>
      </rPr>
      <t xml:space="preserve">
- 사용자 질의에 대한 응답은 10초 이내로 이뤄져야 하며, 요청을 처리하는 동안 UI상에 로딩 인디케이터로써 피드백한다.
- 응답이 60초를 경과하면 오류 메시지 반환 후 응답을 종료한다.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</si>
  <si>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음성 기반 질의 응답 시간 성능</t>
    </r>
    <r>
      <rPr>
        <sz val="10"/>
        <color theme="1"/>
        <rFont val="맑은 고딕"/>
        <family val="3"/>
        <charset val="129"/>
        <scheme val="minor"/>
      </rPr>
      <t xml:space="preserve">
- 사용자 질의에 대한 응답은 20초 이내로 이뤄져야 하며, 요청을 처리하는 동안 UI상에 로딩 인디케이터로써 피드백한다.
- 응답이 60초를 경과하면 오류 메시지 반환 후 응답을 종료한다.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</si>
  <si>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하이브리드 확장(클라우드) 아키텍처 지원
</t>
    </r>
    <r>
      <rPr>
        <sz val="10"/>
        <color theme="1"/>
        <rFont val="맑은 고딕"/>
        <family val="3"/>
        <charset val="129"/>
        <scheme val="minor"/>
      </rPr>
      <t>- MOA 서비스는 온프레미스 환경에 설치 가능해야 한다.
- 서비스 운영에 필요한 소프트웨어 종속성(예: 라이브러리, 패키지)은 설치 패키지에 포함되어야 한다.
- 음성 인식(STT, TTS, LLM)의 기능을은 필요시 외부 모델/API로 전환하거나 함께 사용할 수 있는 구조로 설계되어야 한다.</t>
    </r>
    <phoneticPr fontId="1" type="noConversion"/>
  </si>
  <si>
    <r>
      <t xml:space="preserve">주요 데이터 자산의 정기적 백업 정책
</t>
    </r>
    <r>
      <rPr>
        <sz val="10"/>
        <color theme="1"/>
        <rFont val="맑은 고딕"/>
        <family val="3"/>
        <charset val="129"/>
        <scheme val="minor"/>
      </rPr>
      <t>- 시스템의 '데이터 자산'은 정기적으로 백업되어야 한다.
- '데이터 자산'은 다음과 같은 데이터를 의미한다.
 - 원본 문서
 - 임베딩 벡터데이터
 - 메타데이터
 - 사용자 설정값
- 백업은 다음과 같은 정책으로 수행되어야 한다.
 - 일일 백업: 특정 시간대에 1일 1회 자동으로 수행한다.
 - 월간 백업: 특정 날짜에 월 1회 전체 백업을 자동으로 수행한다.</t>
    </r>
    <phoneticPr fontId="1" type="noConversion"/>
  </si>
  <si>
    <r>
      <t xml:space="preserve">무중단 모델 교체 및 업데이트 지원
</t>
    </r>
    <r>
      <rPr>
        <sz val="10"/>
        <color theme="1"/>
        <rFont val="맑은 고딕"/>
        <family val="3"/>
        <charset val="129"/>
        <scheme val="minor"/>
      </rPr>
      <t>- 운영 중인 SLM을 새로운 버전으로 교체할 때 최종 사용자에게 서비스 중단이 발생하지 않아야 한다.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>- 배포전략(ex: 롤링 배포)를 통해 안전하게 기존 모델들을 새 버전으로 교체한다</t>
    </r>
    <phoneticPr fontId="1" type="noConversion"/>
  </si>
  <si>
    <t>알람 처리 가이드 제공</t>
    <phoneticPr fontId="1" type="noConversion"/>
  </si>
  <si>
    <t>SR-F-02-01-02</t>
    <phoneticPr fontId="1" type="noConversion"/>
  </si>
  <si>
    <t>알람 발생 및 히스토리 조회</t>
    <phoneticPr fontId="1" type="noConversion"/>
  </si>
  <si>
    <t>알람 메일 발송</t>
    <phoneticPr fontId="1" type="noConversion"/>
  </si>
  <si>
    <t>알람 SMS 발송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</si>
  <si>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알람 발생 시 메일을 통한 상세 정보 통지
</t>
    </r>
    <r>
      <rPr>
        <sz val="10"/>
        <color theme="1"/>
        <rFont val="맑은 고딕"/>
        <family val="3"/>
        <charset val="129"/>
        <scheme val="minor"/>
      </rPr>
      <t>- 알람 발생 시 시스템은 등록된 담당자에게 이메일을 발송해야 한다.
- 메일 본문에는 알람 코드, 설비명, 발생시각 등의 주요 정보가 포함된다.
- 메일 템플릿은 사전에 정의된 형식을 기반 표시한다.
- 모든 발송 성공 여부 및 실패 사유는 로그로 기록한다.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</si>
  <si>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알람 발생 시 SMS를 통한 핵심 정보 통지
</t>
    </r>
    <r>
      <rPr>
        <sz val="10"/>
        <color theme="1"/>
        <rFont val="맑은 고딕"/>
        <family val="3"/>
        <charset val="129"/>
        <scheme val="minor"/>
      </rPr>
      <t>- 알람 발생 시 시스템은 등록된 담당자에게 SMS를 발송해야 한다.
- 메시지 본문에는 알람 코드, 설비명, 발생시각 등의 정보를 포함한다.
- 발송 결과(성공/실패)는 로그로 저장된다.</t>
    </r>
    <phoneticPr fontId="1" type="noConversion"/>
  </si>
  <si>
    <r>
      <rPr>
        <b/>
        <sz val="10"/>
        <color rgb="FF0000FF"/>
        <rFont val="맑은 고딕"/>
        <family val="3"/>
        <charset val="129"/>
        <scheme val="minor"/>
      </rPr>
      <t>알람 발생 알림 및 히스토리 조회</t>
    </r>
    <r>
      <rPr>
        <sz val="10"/>
        <color rgb="FF0000FF"/>
        <rFont val="맑은 고딕"/>
        <family val="3"/>
        <charset val="129"/>
        <scheme val="minor"/>
      </rPr>
      <t xml:space="preserve">
- 연동된 설비에서 알람이 발생하면, 지정된 화면이나 팝업 상에서 해당 내용을 사용자에게 알려야 한다.
- 사용자는 알람 히스토리를 최신순으로 조회할 수 있어야 한다.</t>
    </r>
    <phoneticPr fontId="1" type="noConversion"/>
  </si>
  <si>
    <t>사용자 질문에 대한 통합 답변 제공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</si>
</sst>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한화고딕 EL"/>
      <family val="1"/>
      <charset val="129"/>
    </font>
    <font>
      <sz val="8"/>
      <name val="나눔고딕"/>
      <family val="2"/>
      <charset val="129"/>
    </font>
    <font>
      <sz val="10"/>
      <color rgb="FF000000"/>
      <name val="한화고딕 EL"/>
      <family val="1"/>
      <charset val="129"/>
    </font>
    <font>
      <sz val="10"/>
      <name val="한화고딕 EL"/>
      <family val="1"/>
    </font>
    <font>
      <b/>
      <sz val="10"/>
      <color rgb="FF000000"/>
      <name val="한화고딕 EL"/>
      <family val="1"/>
      <charset val="129"/>
    </font>
    <font>
      <sz val="10"/>
      <color rgb="FFC00000"/>
      <name val="한화고딕 EL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206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</cellStyleXfs>
  <cellXfs count="96">
    <xf numFmtId="0" fontId="0" fillId="0" borderId="0" xfId="0">
      <alignment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9" fontId="7" fillId="4" borderId="10" xfId="0" applyNumberFormat="1" applyFont="1" applyFill="1" applyBorder="1" applyAlignment="1">
      <alignment horizontal="center" vertical="center"/>
    </xf>
    <xf numFmtId="0" fontId="9" fillId="4" borderId="0" xfId="0" applyFont="1" applyFill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49" fontId="7" fillId="4" borderId="2" xfId="0" applyNumberFormat="1" applyFont="1" applyFill="1" applyBorder="1" applyAlignment="1">
      <alignment horizontal="center" vertical="center"/>
    </xf>
    <xf numFmtId="0" fontId="7" fillId="4" borderId="6" xfId="0" applyFont="1" applyFill="1" applyBorder="1">
      <alignment vertical="center"/>
    </xf>
    <xf numFmtId="49" fontId="7" fillId="4" borderId="3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vertical="center" wrapText="1"/>
    </xf>
    <xf numFmtId="49" fontId="7" fillId="4" borderId="5" xfId="0" applyNumberFormat="1" applyFont="1" applyFill="1" applyBorder="1" applyAlignment="1">
      <alignment horizontal="center" vertical="center"/>
    </xf>
    <xf numFmtId="49" fontId="7" fillId="4" borderId="8" xfId="0" applyNumberFormat="1" applyFont="1" applyFill="1" applyBorder="1" applyAlignment="1">
      <alignment horizontal="center" vertical="center"/>
    </xf>
    <xf numFmtId="0" fontId="9" fillId="4" borderId="6" xfId="0" quotePrefix="1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49" fontId="10" fillId="4" borderId="11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49" fontId="7" fillId="4" borderId="7" xfId="0" applyNumberFormat="1" applyFont="1" applyFill="1" applyBorder="1" applyAlignment="1">
      <alignment horizontal="center" vertical="center"/>
    </xf>
    <xf numFmtId="0" fontId="9" fillId="4" borderId="6" xfId="0" quotePrefix="1" applyFont="1" applyFill="1" applyBorder="1" applyAlignment="1">
      <alignment vertical="center" wrapText="1"/>
    </xf>
    <xf numFmtId="0" fontId="11" fillId="4" borderId="6" xfId="0" quotePrefix="1" applyFont="1" applyFill="1" applyBorder="1" applyAlignment="1">
      <alignment vertical="center" wrapText="1"/>
    </xf>
    <xf numFmtId="0" fontId="9" fillId="4" borderId="0" xfId="0" applyFont="1" applyFill="1" applyAlignment="1">
      <alignment horizontal="center" vertical="center"/>
    </xf>
    <xf numFmtId="49" fontId="10" fillId="4" borderId="5" xfId="0" applyNumberFormat="1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>
      <alignment vertical="center"/>
    </xf>
    <xf numFmtId="49" fontId="7" fillId="4" borderId="3" xfId="0" applyNumberFormat="1" applyFont="1" applyFill="1" applyBorder="1">
      <alignment vertical="center"/>
    </xf>
    <xf numFmtId="49" fontId="7" fillId="4" borderId="4" xfId="0" applyNumberFormat="1" applyFont="1" applyFill="1" applyBorder="1">
      <alignment vertical="center"/>
    </xf>
    <xf numFmtId="49" fontId="7" fillId="4" borderId="12" xfId="0" applyNumberFormat="1" applyFont="1" applyFill="1" applyBorder="1">
      <alignment vertical="center"/>
    </xf>
    <xf numFmtId="49" fontId="10" fillId="4" borderId="12" xfId="0" applyNumberFormat="1" applyFont="1" applyFill="1" applyBorder="1">
      <alignment vertical="center"/>
    </xf>
    <xf numFmtId="0" fontId="13" fillId="6" borderId="1" xfId="0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left" vertical="center"/>
    </xf>
    <xf numFmtId="0" fontId="6" fillId="6" borderId="1" xfId="2" applyFont="1" applyFill="1" applyBorder="1" applyAlignment="1">
      <alignment horizontal="left" vertical="center" wrapText="1"/>
    </xf>
    <xf numFmtId="0" fontId="16" fillId="0" borderId="0" xfId="0" applyFont="1">
      <alignment vertical="center"/>
    </xf>
    <xf numFmtId="0" fontId="16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0" borderId="3" xfId="0" applyFont="1" applyBorder="1">
      <alignment vertical="center"/>
    </xf>
    <xf numFmtId="49" fontId="16" fillId="0" borderId="3" xfId="0" applyNumberFormat="1" applyFont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2" borderId="3" xfId="3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/>
    </xf>
    <xf numFmtId="49" fontId="18" fillId="0" borderId="3" xfId="0" applyNumberFormat="1" applyFont="1" applyBorder="1">
      <alignment vertical="center"/>
    </xf>
    <xf numFmtId="49" fontId="18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left" vertical="center"/>
    </xf>
    <xf numFmtId="0" fontId="18" fillId="0" borderId="3" xfId="0" applyFont="1" applyBorder="1">
      <alignment vertical="center"/>
    </xf>
    <xf numFmtId="0" fontId="18" fillId="0" borderId="3" xfId="0" applyFont="1" applyBorder="1" applyAlignment="1">
      <alignment vertical="center" wrapText="1"/>
    </xf>
    <xf numFmtId="49" fontId="18" fillId="0" borderId="3" xfId="0" applyNumberFormat="1" applyFont="1" applyBorder="1" applyAlignment="1">
      <alignment vertical="center" wrapText="1"/>
    </xf>
    <xf numFmtId="49" fontId="15" fillId="0" borderId="3" xfId="0" applyNumberFormat="1" applyFont="1" applyBorder="1" applyAlignment="1">
      <alignment horizontal="center" vertical="center"/>
    </xf>
    <xf numFmtId="0" fontId="18" fillId="5" borderId="3" xfId="0" applyFont="1" applyFill="1" applyBorder="1" applyAlignment="1">
      <alignment vertical="center" wrapText="1"/>
    </xf>
    <xf numFmtId="0" fontId="18" fillId="0" borderId="3" xfId="0" applyFont="1" applyBorder="1" applyAlignment="1">
      <alignment horizontal="left" vertical="center" wrapText="1"/>
    </xf>
    <xf numFmtId="0" fontId="18" fillId="5" borderId="3" xfId="0" quotePrefix="1" applyFont="1" applyFill="1" applyBorder="1" applyAlignment="1">
      <alignment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/>
    </xf>
    <xf numFmtId="49" fontId="18" fillId="0" borderId="15" xfId="0" applyNumberFormat="1" applyFont="1" applyBorder="1">
      <alignment vertical="center"/>
    </xf>
    <xf numFmtId="49" fontId="18" fillId="0" borderId="15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6" fillId="6" borderId="13" xfId="2" applyFont="1" applyFill="1" applyBorder="1" applyAlignment="1">
      <alignment horizontal="center" vertical="center" wrapText="1"/>
    </xf>
    <xf numFmtId="0" fontId="6" fillId="6" borderId="14" xfId="2" applyFont="1" applyFill="1" applyBorder="1" applyAlignment="1">
      <alignment horizontal="center" vertical="center"/>
    </xf>
    <xf numFmtId="0" fontId="6" fillId="6" borderId="13" xfId="2" applyFont="1" applyFill="1" applyBorder="1" applyAlignment="1">
      <alignment horizontal="center" vertical="center"/>
    </xf>
    <xf numFmtId="0" fontId="6" fillId="3" borderId="13" xfId="2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49" fontId="20" fillId="0" borderId="3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vertical="center" wrapText="1"/>
    </xf>
    <xf numFmtId="0" fontId="20" fillId="0" borderId="3" xfId="0" quotePrefix="1" applyFont="1" applyBorder="1" applyAlignment="1">
      <alignment vertical="center" wrapText="1"/>
    </xf>
    <xf numFmtId="0" fontId="20" fillId="5" borderId="3" xfId="0" quotePrefix="1" applyFont="1" applyFill="1" applyBorder="1" applyAlignment="1">
      <alignment horizontal="left" vertical="center" wrapText="1"/>
    </xf>
    <xf numFmtId="49" fontId="21" fillId="0" borderId="3" xfId="0" applyNumberFormat="1" applyFont="1" applyBorder="1" applyAlignment="1">
      <alignment horizontal="left" vertical="center" wrapText="1"/>
    </xf>
    <xf numFmtId="0" fontId="20" fillId="5" borderId="3" xfId="0" quotePrefix="1" applyFont="1" applyFill="1" applyBorder="1" applyAlignment="1">
      <alignment vertical="center" wrapText="1"/>
    </xf>
    <xf numFmtId="49" fontId="20" fillId="0" borderId="3" xfId="0" applyNumberFormat="1" applyFont="1" applyBorder="1" applyAlignment="1">
      <alignment horizontal="left" vertical="center" wrapText="1"/>
    </xf>
    <xf numFmtId="0" fontId="20" fillId="2" borderId="3" xfId="3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49" fontId="23" fillId="0" borderId="3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</cellXfs>
  <cellStyles count="8">
    <cellStyle name="표준" xfId="0" builtinId="0"/>
    <cellStyle name="표준 10" xfId="4" xr:uid="{00000000-0005-0000-0000-000001000000}"/>
    <cellStyle name="표준 10 2" xfId="7" xr:uid="{00000000-0005-0000-0000-000002000000}"/>
    <cellStyle name="표준 2" xfId="2" xr:uid="{00000000-0005-0000-0000-000003000000}"/>
    <cellStyle name="표준 2 2" xfId="6" xr:uid="{00000000-0005-0000-0000-000004000000}"/>
    <cellStyle name="표준 3" xfId="3" xr:uid="{00000000-0005-0000-0000-000005000000}"/>
    <cellStyle name="표준 3 2 4" xfId="1" xr:uid="{00000000-0005-0000-0000-000006000000}"/>
    <cellStyle name="표준 4" xfId="5" xr:uid="{00000000-0005-0000-0000-000007000000}"/>
  </cellStyles>
  <dxfs count="0"/>
  <tableStyles count="0" defaultTableStyle="TableStyleMedium2" defaultPivotStyle="PivotStyleLight16"/>
  <colors>
    <mruColors>
      <color rgb="FF0000FF"/>
      <color rgb="FF00FF00"/>
      <color rgb="FFC1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635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999A-A2D5-4DA0-9EAB-FE2303C80029}">
  <sheetPr>
    <pageSetUpPr fitToPage="1"/>
  </sheetPr>
  <dimension ref="A1:K80"/>
  <sheetViews>
    <sheetView tabSelected="1" zoomScaleNormal="100" workbookViewId="0">
      <pane ySplit="1" topLeftCell="A2" activePane="bottomLeft" state="frozen"/>
      <selection activeCell="G1" sqref="G1"/>
      <selection pane="bottomLeft" activeCell="D41" sqref="D41"/>
    </sheetView>
  </sheetViews>
  <sheetFormatPr defaultColWidth="9" defaultRowHeight="16.5" x14ac:dyDescent="0.3"/>
  <cols>
    <col min="1" max="1" width="4.375" style="43" bestFit="1" customWidth="1"/>
    <col min="2" max="2" width="22" style="43" customWidth="1"/>
    <col min="3" max="3" width="23.125" style="35" customWidth="1"/>
    <col min="4" max="4" width="21" style="43" customWidth="1"/>
    <col min="5" max="5" width="19.625" style="43" customWidth="1"/>
    <col min="6" max="6" width="29.25" style="35" bestFit="1" customWidth="1"/>
    <col min="7" max="7" width="128.375" style="35" customWidth="1"/>
    <col min="8" max="8" width="12" style="43" bestFit="1" customWidth="1"/>
    <col min="9" max="9" width="8.75" style="35" bestFit="1" customWidth="1"/>
    <col min="10" max="10" width="12" style="35" bestFit="1" customWidth="1"/>
    <col min="11" max="11" width="55.125" style="35" customWidth="1"/>
    <col min="12" max="13" width="9" style="35" customWidth="1"/>
    <col min="14" max="16384" width="9" style="35"/>
  </cols>
  <sheetData>
    <row r="1" spans="1:11" ht="27" x14ac:dyDescent="0.3">
      <c r="A1" s="67" t="s">
        <v>0</v>
      </c>
      <c r="B1" s="67" t="s">
        <v>1</v>
      </c>
      <c r="C1" s="68" t="s">
        <v>5</v>
      </c>
      <c r="D1" s="69" t="s">
        <v>2</v>
      </c>
      <c r="E1" s="70" t="s">
        <v>142</v>
      </c>
      <c r="F1" s="70" t="s">
        <v>6</v>
      </c>
      <c r="G1" s="70" t="s">
        <v>7</v>
      </c>
      <c r="H1" s="71" t="s">
        <v>13</v>
      </c>
      <c r="I1" s="71" t="s">
        <v>14</v>
      </c>
      <c r="J1" s="71" t="s">
        <v>20</v>
      </c>
      <c r="K1" s="71" t="s">
        <v>21</v>
      </c>
    </row>
    <row r="2" spans="1:11" s="64" customFormat="1" ht="27" x14ac:dyDescent="0.3">
      <c r="A2" s="72">
        <v>1</v>
      </c>
      <c r="B2" s="73" t="s">
        <v>22</v>
      </c>
      <c r="C2" s="72" t="s">
        <v>144</v>
      </c>
      <c r="D2" s="72" t="s">
        <v>131</v>
      </c>
      <c r="E2" s="72" t="s">
        <v>143</v>
      </c>
      <c r="F2" s="72" t="s">
        <v>25</v>
      </c>
      <c r="G2" s="74" t="s">
        <v>237</v>
      </c>
      <c r="H2" s="72" t="s">
        <v>26</v>
      </c>
      <c r="I2" s="72" t="s">
        <v>83</v>
      </c>
      <c r="J2" s="72"/>
      <c r="K2" s="72"/>
    </row>
    <row r="3" spans="1:11" s="65" customFormat="1" ht="40.5" x14ac:dyDescent="0.3">
      <c r="A3" s="72">
        <v>2</v>
      </c>
      <c r="B3" s="75" t="s">
        <v>145</v>
      </c>
      <c r="C3" s="76" t="s">
        <v>147</v>
      </c>
      <c r="D3" s="76" t="s">
        <v>131</v>
      </c>
      <c r="E3" s="76" t="s">
        <v>146</v>
      </c>
      <c r="F3" s="76" t="s">
        <v>28</v>
      </c>
      <c r="G3" s="77" t="s">
        <v>238</v>
      </c>
      <c r="H3" s="76" t="s">
        <v>29</v>
      </c>
      <c r="I3" s="76" t="s">
        <v>222</v>
      </c>
      <c r="J3" s="76"/>
      <c r="K3" s="76"/>
    </row>
    <row r="4" spans="1:11" s="65" customFormat="1" ht="54" x14ac:dyDescent="0.3">
      <c r="A4" s="72">
        <v>3</v>
      </c>
      <c r="B4" s="75" t="s">
        <v>145</v>
      </c>
      <c r="C4" s="76" t="s">
        <v>148</v>
      </c>
      <c r="D4" s="76" t="s">
        <v>131</v>
      </c>
      <c r="E4" s="76" t="s">
        <v>27</v>
      </c>
      <c r="F4" s="76" t="s">
        <v>31</v>
      </c>
      <c r="G4" s="77" t="s">
        <v>239</v>
      </c>
      <c r="H4" s="76" t="s">
        <v>217</v>
      </c>
      <c r="I4" s="76" t="s">
        <v>222</v>
      </c>
      <c r="J4" s="76"/>
      <c r="K4" s="76"/>
    </row>
    <row r="5" spans="1:11" s="64" customFormat="1" ht="54" x14ac:dyDescent="0.3">
      <c r="A5" s="72">
        <v>4</v>
      </c>
      <c r="B5" s="75" t="s">
        <v>220</v>
      </c>
      <c r="C5" s="76" t="s">
        <v>151</v>
      </c>
      <c r="D5" s="78" t="s">
        <v>150</v>
      </c>
      <c r="E5" s="78" t="s">
        <v>40</v>
      </c>
      <c r="F5" s="78" t="s">
        <v>272</v>
      </c>
      <c r="G5" s="79" t="s">
        <v>240</v>
      </c>
      <c r="H5" s="72" t="s">
        <v>23</v>
      </c>
      <c r="I5" s="75" t="s">
        <v>83</v>
      </c>
      <c r="J5" s="72"/>
      <c r="K5" s="72"/>
    </row>
    <row r="6" spans="1:11" s="95" customFormat="1" ht="40.5" x14ac:dyDescent="0.3">
      <c r="A6" s="90">
        <v>4</v>
      </c>
      <c r="B6" s="91" t="s">
        <v>220</v>
      </c>
      <c r="C6" s="92" t="s">
        <v>273</v>
      </c>
      <c r="D6" s="93" t="s">
        <v>150</v>
      </c>
      <c r="E6" s="93" t="s">
        <v>40</v>
      </c>
      <c r="F6" s="92" t="s">
        <v>274</v>
      </c>
      <c r="G6" s="94" t="s">
        <v>279</v>
      </c>
      <c r="H6" s="92"/>
      <c r="I6" s="92"/>
      <c r="J6" s="92"/>
      <c r="K6" s="92"/>
    </row>
    <row r="7" spans="1:11" s="65" customFormat="1" ht="67.5" x14ac:dyDescent="0.3">
      <c r="A7" s="72">
        <v>5</v>
      </c>
      <c r="B7" s="75" t="s">
        <v>152</v>
      </c>
      <c r="C7" s="76" t="s">
        <v>153</v>
      </c>
      <c r="D7" s="76" t="s">
        <v>150</v>
      </c>
      <c r="E7" s="76" t="s">
        <v>40</v>
      </c>
      <c r="F7" s="76" t="s">
        <v>275</v>
      </c>
      <c r="G7" s="77" t="s">
        <v>277</v>
      </c>
      <c r="H7" s="76" t="s">
        <v>29</v>
      </c>
      <c r="I7" s="76" t="s">
        <v>223</v>
      </c>
      <c r="J7" s="76"/>
      <c r="K7" s="80" t="s">
        <v>224</v>
      </c>
    </row>
    <row r="8" spans="1:11" s="65" customFormat="1" ht="54" x14ac:dyDescent="0.3">
      <c r="A8" s="72">
        <v>6</v>
      </c>
      <c r="B8" s="75" t="s">
        <v>152</v>
      </c>
      <c r="C8" s="76" t="s">
        <v>154</v>
      </c>
      <c r="D8" s="76" t="s">
        <v>150</v>
      </c>
      <c r="E8" s="76" t="s">
        <v>40</v>
      </c>
      <c r="F8" s="81" t="s">
        <v>276</v>
      </c>
      <c r="G8" s="82" t="s">
        <v>278</v>
      </c>
      <c r="H8" s="76" t="s">
        <v>29</v>
      </c>
      <c r="I8" s="76" t="s">
        <v>223</v>
      </c>
      <c r="J8" s="76"/>
      <c r="K8" s="80" t="s">
        <v>224</v>
      </c>
    </row>
    <row r="9" spans="1:11" s="64" customFormat="1" ht="54" x14ac:dyDescent="0.3">
      <c r="A9" s="72">
        <v>7</v>
      </c>
      <c r="B9" s="73" t="s">
        <v>42</v>
      </c>
      <c r="C9" s="76" t="s">
        <v>155</v>
      </c>
      <c r="D9" s="72" t="s">
        <v>150</v>
      </c>
      <c r="E9" s="72" t="s">
        <v>230</v>
      </c>
      <c r="F9" s="72" t="s">
        <v>216</v>
      </c>
      <c r="G9" s="83" t="s">
        <v>241</v>
      </c>
      <c r="H9" s="72" t="s">
        <v>23</v>
      </c>
      <c r="I9" s="72" t="s">
        <v>83</v>
      </c>
      <c r="J9" s="73"/>
      <c r="K9" s="73"/>
    </row>
    <row r="10" spans="1:11" s="64" customFormat="1" ht="54" x14ac:dyDescent="0.3">
      <c r="A10" s="72">
        <v>8</v>
      </c>
      <c r="B10" s="75" t="s">
        <v>33</v>
      </c>
      <c r="C10" s="76" t="s">
        <v>157</v>
      </c>
      <c r="D10" s="72" t="s">
        <v>156</v>
      </c>
      <c r="E10" s="72" t="s">
        <v>149</v>
      </c>
      <c r="F10" s="78" t="s">
        <v>35</v>
      </c>
      <c r="G10" s="77" t="s">
        <v>242</v>
      </c>
      <c r="H10" s="72" t="s">
        <v>23</v>
      </c>
      <c r="I10" s="72" t="s">
        <v>83</v>
      </c>
      <c r="J10" s="72"/>
      <c r="K10" s="72"/>
    </row>
    <row r="11" spans="1:11" s="64" customFormat="1" ht="67.5" x14ac:dyDescent="0.3">
      <c r="A11" s="72">
        <v>9</v>
      </c>
      <c r="B11" s="75" t="s">
        <v>33</v>
      </c>
      <c r="C11" s="76" t="s">
        <v>158</v>
      </c>
      <c r="D11" s="72" t="s">
        <v>156</v>
      </c>
      <c r="E11" s="72" t="s">
        <v>149</v>
      </c>
      <c r="F11" s="78" t="s">
        <v>37</v>
      </c>
      <c r="G11" s="77" t="s">
        <v>243</v>
      </c>
      <c r="H11" s="72" t="s">
        <v>23</v>
      </c>
      <c r="I11" s="72" t="s">
        <v>83</v>
      </c>
      <c r="J11" s="72"/>
      <c r="K11" s="72"/>
    </row>
    <row r="12" spans="1:11" s="66" customFormat="1" ht="54" x14ac:dyDescent="0.3">
      <c r="A12" s="72">
        <v>10</v>
      </c>
      <c r="B12" s="75" t="s">
        <v>221</v>
      </c>
      <c r="C12" s="76" t="s">
        <v>159</v>
      </c>
      <c r="D12" s="76" t="s">
        <v>156</v>
      </c>
      <c r="E12" s="78" t="s">
        <v>43</v>
      </c>
      <c r="F12" s="78" t="s">
        <v>280</v>
      </c>
      <c r="G12" s="84" t="s">
        <v>244</v>
      </c>
      <c r="H12" s="72" t="s">
        <v>23</v>
      </c>
      <c r="I12" s="75" t="s">
        <v>83</v>
      </c>
      <c r="J12" s="72"/>
      <c r="K12" s="72"/>
    </row>
    <row r="13" spans="1:11" s="65" customFormat="1" ht="54" x14ac:dyDescent="0.3">
      <c r="A13" s="72">
        <v>11</v>
      </c>
      <c r="B13" s="75" t="s">
        <v>160</v>
      </c>
      <c r="C13" s="76" t="s">
        <v>163</v>
      </c>
      <c r="D13" s="76" t="s">
        <v>161</v>
      </c>
      <c r="E13" s="76" t="s">
        <v>162</v>
      </c>
      <c r="F13" s="76" t="s">
        <v>45</v>
      </c>
      <c r="G13" s="77" t="s">
        <v>245</v>
      </c>
      <c r="H13" s="76" t="s">
        <v>29</v>
      </c>
      <c r="I13" s="76" t="s">
        <v>30</v>
      </c>
      <c r="J13" s="76"/>
      <c r="K13" s="76" t="s">
        <v>46</v>
      </c>
    </row>
    <row r="14" spans="1:11" s="65" customFormat="1" ht="54" x14ac:dyDescent="0.3">
      <c r="A14" s="72">
        <v>12</v>
      </c>
      <c r="B14" s="75" t="s">
        <v>160</v>
      </c>
      <c r="C14" s="76" t="s">
        <v>164</v>
      </c>
      <c r="D14" s="76" t="s">
        <v>161</v>
      </c>
      <c r="E14" s="76" t="s">
        <v>162</v>
      </c>
      <c r="F14" s="76" t="s">
        <v>47</v>
      </c>
      <c r="G14" s="77" t="s">
        <v>246</v>
      </c>
      <c r="H14" s="76" t="s">
        <v>29</v>
      </c>
      <c r="I14" s="76" t="s">
        <v>225</v>
      </c>
      <c r="J14" s="76"/>
      <c r="K14" s="76" t="s">
        <v>48</v>
      </c>
    </row>
    <row r="15" spans="1:11" ht="40.5" x14ac:dyDescent="0.3">
      <c r="A15" s="72">
        <v>13</v>
      </c>
      <c r="B15" s="75" t="s">
        <v>49</v>
      </c>
      <c r="C15" s="76" t="s">
        <v>166</v>
      </c>
      <c r="D15" s="78" t="s">
        <v>161</v>
      </c>
      <c r="E15" s="78" t="s">
        <v>165</v>
      </c>
      <c r="F15" s="78" t="s">
        <v>50</v>
      </c>
      <c r="G15" s="85" t="s">
        <v>247</v>
      </c>
      <c r="H15" s="72" t="s">
        <v>23</v>
      </c>
      <c r="I15" s="75" t="s">
        <v>83</v>
      </c>
      <c r="J15" s="72"/>
      <c r="K15" s="72"/>
    </row>
    <row r="16" spans="1:11" s="64" customFormat="1" ht="54" x14ac:dyDescent="0.3">
      <c r="A16" s="72">
        <v>14</v>
      </c>
      <c r="B16" s="75" t="s">
        <v>51</v>
      </c>
      <c r="C16" s="76" t="s">
        <v>167</v>
      </c>
      <c r="D16" s="78" t="s">
        <v>161</v>
      </c>
      <c r="E16" s="78" t="s">
        <v>165</v>
      </c>
      <c r="F16" s="78" t="s">
        <v>52</v>
      </c>
      <c r="G16" s="86" t="s">
        <v>248</v>
      </c>
      <c r="H16" s="72" t="s">
        <v>23</v>
      </c>
      <c r="I16" s="75" t="s">
        <v>83</v>
      </c>
      <c r="J16" s="72"/>
      <c r="K16" s="72"/>
    </row>
    <row r="17" spans="1:11" s="65" customFormat="1" ht="40.5" x14ac:dyDescent="0.3">
      <c r="A17" s="72">
        <v>15</v>
      </c>
      <c r="B17" s="75" t="s">
        <v>168</v>
      </c>
      <c r="C17" s="76" t="s">
        <v>171</v>
      </c>
      <c r="D17" s="76" t="s">
        <v>169</v>
      </c>
      <c r="E17" s="76" t="s">
        <v>170</v>
      </c>
      <c r="F17" s="76" t="s">
        <v>53</v>
      </c>
      <c r="G17" s="77" t="s">
        <v>249</v>
      </c>
      <c r="H17" s="76" t="s">
        <v>29</v>
      </c>
      <c r="I17" s="76" t="s">
        <v>30</v>
      </c>
      <c r="J17" s="76"/>
      <c r="K17" s="76"/>
    </row>
    <row r="18" spans="1:11" s="65" customFormat="1" ht="40.5" x14ac:dyDescent="0.3">
      <c r="A18" s="72">
        <v>16</v>
      </c>
      <c r="B18" s="75" t="s">
        <v>168</v>
      </c>
      <c r="C18" s="76" t="s">
        <v>172</v>
      </c>
      <c r="D18" s="76" t="s">
        <v>169</v>
      </c>
      <c r="E18" s="76" t="s">
        <v>170</v>
      </c>
      <c r="F18" s="76" t="s">
        <v>54</v>
      </c>
      <c r="G18" s="77" t="s">
        <v>250</v>
      </c>
      <c r="H18" s="76" t="s">
        <v>29</v>
      </c>
      <c r="I18" s="76" t="s">
        <v>225</v>
      </c>
      <c r="J18" s="76"/>
      <c r="K18" s="76" t="s">
        <v>55</v>
      </c>
    </row>
    <row r="19" spans="1:11" s="65" customFormat="1" ht="40.5" x14ac:dyDescent="0.3">
      <c r="A19" s="72">
        <v>17</v>
      </c>
      <c r="B19" s="75" t="s">
        <v>168</v>
      </c>
      <c r="C19" s="76" t="s">
        <v>173</v>
      </c>
      <c r="D19" s="76" t="s">
        <v>169</v>
      </c>
      <c r="E19" s="76" t="s">
        <v>170</v>
      </c>
      <c r="F19" s="76" t="s">
        <v>56</v>
      </c>
      <c r="G19" s="77" t="s">
        <v>251</v>
      </c>
      <c r="H19" s="76" t="s">
        <v>29</v>
      </c>
      <c r="I19" s="76" t="s">
        <v>225</v>
      </c>
      <c r="J19" s="76"/>
      <c r="K19" s="76" t="s">
        <v>57</v>
      </c>
    </row>
    <row r="20" spans="1:11" s="65" customFormat="1" ht="67.5" x14ac:dyDescent="0.3">
      <c r="A20" s="72">
        <v>18</v>
      </c>
      <c r="B20" s="75" t="s">
        <v>174</v>
      </c>
      <c r="C20" s="76" t="s">
        <v>175</v>
      </c>
      <c r="D20" s="76" t="s">
        <v>58</v>
      </c>
      <c r="E20" s="76" t="s">
        <v>58</v>
      </c>
      <c r="F20" s="76" t="s">
        <v>59</v>
      </c>
      <c r="G20" s="77" t="s">
        <v>252</v>
      </c>
      <c r="H20" s="76" t="s">
        <v>29</v>
      </c>
      <c r="I20" s="76" t="s">
        <v>222</v>
      </c>
      <c r="J20" s="76"/>
      <c r="K20" s="76"/>
    </row>
    <row r="21" spans="1:11" s="65" customFormat="1" ht="40.5" x14ac:dyDescent="0.3">
      <c r="A21" s="72">
        <v>19</v>
      </c>
      <c r="B21" s="75" t="s">
        <v>176</v>
      </c>
      <c r="C21" s="76" t="s">
        <v>177</v>
      </c>
      <c r="D21" s="76" t="s">
        <v>58</v>
      </c>
      <c r="E21" s="76" t="s">
        <v>58</v>
      </c>
      <c r="F21" s="76" t="s">
        <v>60</v>
      </c>
      <c r="G21" s="77" t="s">
        <v>253</v>
      </c>
      <c r="H21" s="76" t="s">
        <v>29</v>
      </c>
      <c r="I21" s="76" t="s">
        <v>222</v>
      </c>
      <c r="J21" s="76"/>
      <c r="K21" s="76"/>
    </row>
    <row r="22" spans="1:11" s="65" customFormat="1" ht="54" x14ac:dyDescent="0.3">
      <c r="A22" s="72">
        <v>20</v>
      </c>
      <c r="B22" s="75" t="s">
        <v>178</v>
      </c>
      <c r="C22" s="76" t="s">
        <v>179</v>
      </c>
      <c r="D22" s="76" t="s">
        <v>58</v>
      </c>
      <c r="E22" s="76" t="s">
        <v>58</v>
      </c>
      <c r="F22" s="76" t="s">
        <v>61</v>
      </c>
      <c r="G22" s="77" t="s">
        <v>254</v>
      </c>
      <c r="H22" s="76" t="s">
        <v>29</v>
      </c>
      <c r="I22" s="76" t="s">
        <v>41</v>
      </c>
      <c r="J22" s="76"/>
      <c r="K22" s="76" t="s">
        <v>62</v>
      </c>
    </row>
    <row r="23" spans="1:11" s="65" customFormat="1" ht="27" x14ac:dyDescent="0.3">
      <c r="A23" s="72">
        <v>21</v>
      </c>
      <c r="B23" s="75" t="s">
        <v>231</v>
      </c>
      <c r="C23" s="76" t="s">
        <v>232</v>
      </c>
      <c r="D23" s="76" t="s">
        <v>58</v>
      </c>
      <c r="E23" s="76" t="s">
        <v>58</v>
      </c>
      <c r="F23" s="76" t="s">
        <v>214</v>
      </c>
      <c r="G23" s="77" t="s">
        <v>255</v>
      </c>
      <c r="H23" s="76" t="s">
        <v>217</v>
      </c>
      <c r="I23" s="76" t="s">
        <v>218</v>
      </c>
      <c r="J23" s="76"/>
      <c r="K23" s="76"/>
    </row>
    <row r="24" spans="1:11" s="65" customFormat="1" ht="54" x14ac:dyDescent="0.3">
      <c r="A24" s="72">
        <v>22</v>
      </c>
      <c r="B24" s="75" t="s">
        <v>228</v>
      </c>
      <c r="C24" s="76" t="s">
        <v>233</v>
      </c>
      <c r="D24" s="76" t="s">
        <v>229</v>
      </c>
      <c r="E24" s="76" t="s">
        <v>236</v>
      </c>
      <c r="F24" s="76" t="s">
        <v>236</v>
      </c>
      <c r="G24" s="77" t="s">
        <v>256</v>
      </c>
      <c r="H24" s="76" t="s">
        <v>29</v>
      </c>
      <c r="I24" s="76" t="s">
        <v>30</v>
      </c>
      <c r="J24" s="76"/>
      <c r="K24" s="76"/>
    </row>
    <row r="25" spans="1:11" s="65" customFormat="1" ht="27" x14ac:dyDescent="0.3">
      <c r="A25" s="72">
        <v>23</v>
      </c>
      <c r="B25" s="75" t="s">
        <v>180</v>
      </c>
      <c r="C25" s="76" t="s">
        <v>234</v>
      </c>
      <c r="D25" s="76" t="s">
        <v>229</v>
      </c>
      <c r="E25" s="76" t="s">
        <v>181</v>
      </c>
      <c r="F25" s="76" t="s">
        <v>64</v>
      </c>
      <c r="G25" s="77" t="s">
        <v>257</v>
      </c>
      <c r="H25" s="76" t="s">
        <v>29</v>
      </c>
      <c r="I25" s="76" t="s">
        <v>65</v>
      </c>
      <c r="J25" s="76"/>
      <c r="K25" s="76" t="s">
        <v>66</v>
      </c>
    </row>
    <row r="26" spans="1:11" s="65" customFormat="1" ht="40.5" x14ac:dyDescent="0.3">
      <c r="A26" s="72">
        <v>24</v>
      </c>
      <c r="B26" s="75" t="s">
        <v>180</v>
      </c>
      <c r="C26" s="76" t="s">
        <v>235</v>
      </c>
      <c r="D26" s="76" t="s">
        <v>229</v>
      </c>
      <c r="E26" s="76" t="s">
        <v>182</v>
      </c>
      <c r="F26" s="76" t="s">
        <v>219</v>
      </c>
      <c r="G26" s="77" t="s">
        <v>258</v>
      </c>
      <c r="H26" s="76" t="s">
        <v>32</v>
      </c>
      <c r="I26" s="76" t="s">
        <v>65</v>
      </c>
      <c r="J26" s="76"/>
      <c r="K26" s="76" t="s">
        <v>67</v>
      </c>
    </row>
    <row r="27" spans="1:11" s="65" customFormat="1" ht="40.5" x14ac:dyDescent="0.3">
      <c r="A27" s="72">
        <v>26</v>
      </c>
      <c r="B27" s="75" t="s">
        <v>180</v>
      </c>
      <c r="C27" s="76" t="s">
        <v>184</v>
      </c>
      <c r="D27" s="76" t="s">
        <v>229</v>
      </c>
      <c r="E27" s="76" t="s">
        <v>183</v>
      </c>
      <c r="F27" s="76" t="s">
        <v>69</v>
      </c>
      <c r="G27" s="77" t="s">
        <v>259</v>
      </c>
      <c r="H27" s="76" t="s">
        <v>29</v>
      </c>
      <c r="I27" s="76" t="s">
        <v>225</v>
      </c>
      <c r="J27" s="76"/>
      <c r="K27" s="76" t="s">
        <v>70</v>
      </c>
    </row>
    <row r="28" spans="1:11" s="64" customFormat="1" ht="40.5" x14ac:dyDescent="0.3">
      <c r="A28" s="72">
        <v>27</v>
      </c>
      <c r="B28" s="73" t="s">
        <v>71</v>
      </c>
      <c r="C28" s="76" t="s">
        <v>187</v>
      </c>
      <c r="D28" s="78" t="s">
        <v>185</v>
      </c>
      <c r="E28" s="78" t="s">
        <v>186</v>
      </c>
      <c r="F28" s="78" t="s">
        <v>215</v>
      </c>
      <c r="G28" s="87" t="s">
        <v>260</v>
      </c>
      <c r="H28" s="72" t="s">
        <v>23</v>
      </c>
      <c r="I28" s="76" t="s">
        <v>83</v>
      </c>
      <c r="J28" s="72"/>
      <c r="K28" s="72"/>
    </row>
    <row r="29" spans="1:11" s="64" customFormat="1" ht="54" x14ac:dyDescent="0.3">
      <c r="A29" s="72">
        <v>28</v>
      </c>
      <c r="B29" s="73" t="s">
        <v>71</v>
      </c>
      <c r="C29" s="76" t="s">
        <v>188</v>
      </c>
      <c r="D29" s="78" t="s">
        <v>185</v>
      </c>
      <c r="E29" s="78" t="s">
        <v>186</v>
      </c>
      <c r="F29" s="72" t="s">
        <v>72</v>
      </c>
      <c r="G29" s="77" t="s">
        <v>261</v>
      </c>
      <c r="H29" s="72" t="s">
        <v>23</v>
      </c>
      <c r="I29" s="72" t="s">
        <v>83</v>
      </c>
      <c r="J29" s="72"/>
      <c r="K29" s="72"/>
    </row>
    <row r="30" spans="1:11" s="65" customFormat="1" ht="40.5" x14ac:dyDescent="0.3">
      <c r="A30" s="72">
        <v>29</v>
      </c>
      <c r="B30" s="75" t="s">
        <v>189</v>
      </c>
      <c r="C30" s="76" t="s">
        <v>192</v>
      </c>
      <c r="D30" s="76" t="s">
        <v>190</v>
      </c>
      <c r="E30" s="76" t="s">
        <v>191</v>
      </c>
      <c r="F30" s="76" t="s">
        <v>73</v>
      </c>
      <c r="G30" s="77" t="s">
        <v>262</v>
      </c>
      <c r="H30" s="76" t="s">
        <v>29</v>
      </c>
      <c r="I30" s="76" t="s">
        <v>223</v>
      </c>
      <c r="J30" s="76"/>
      <c r="K30" s="76"/>
    </row>
    <row r="31" spans="1:11" ht="40.5" x14ac:dyDescent="0.3">
      <c r="A31" s="72">
        <v>30</v>
      </c>
      <c r="B31" s="75" t="s">
        <v>74</v>
      </c>
      <c r="C31" s="76" t="s">
        <v>195</v>
      </c>
      <c r="D31" s="88" t="s">
        <v>193</v>
      </c>
      <c r="E31" s="78" t="s">
        <v>194</v>
      </c>
      <c r="F31" s="72" t="s">
        <v>75</v>
      </c>
      <c r="G31" s="89" t="s">
        <v>263</v>
      </c>
      <c r="H31" s="72" t="s">
        <v>23</v>
      </c>
      <c r="I31" s="72" t="s">
        <v>83</v>
      </c>
      <c r="J31" s="72"/>
      <c r="K31" s="72"/>
    </row>
    <row r="32" spans="1:11" s="64" customFormat="1" ht="81" x14ac:dyDescent="0.3">
      <c r="A32" s="72">
        <v>31</v>
      </c>
      <c r="B32" s="73" t="s">
        <v>196</v>
      </c>
      <c r="C32" s="76" t="s">
        <v>197</v>
      </c>
      <c r="D32" s="88" t="s">
        <v>193</v>
      </c>
      <c r="E32" s="72" t="s">
        <v>34</v>
      </c>
      <c r="F32" s="72" t="s">
        <v>76</v>
      </c>
      <c r="G32" s="74" t="s">
        <v>264</v>
      </c>
      <c r="H32" s="72" t="s">
        <v>23</v>
      </c>
      <c r="I32" s="73" t="s">
        <v>83</v>
      </c>
      <c r="J32" s="73"/>
      <c r="K32" s="73"/>
    </row>
    <row r="33" spans="1:11" s="65" customFormat="1" ht="67.5" x14ac:dyDescent="0.3">
      <c r="A33" s="72">
        <v>32</v>
      </c>
      <c r="B33" s="75" t="s">
        <v>198</v>
      </c>
      <c r="C33" s="76" t="s">
        <v>200</v>
      </c>
      <c r="D33" s="76" t="s">
        <v>199</v>
      </c>
      <c r="E33" s="76" t="s">
        <v>77</v>
      </c>
      <c r="F33" s="76" t="s">
        <v>78</v>
      </c>
      <c r="G33" s="77" t="s">
        <v>265</v>
      </c>
      <c r="H33" s="76" t="s">
        <v>29</v>
      </c>
      <c r="I33" s="76" t="s">
        <v>225</v>
      </c>
      <c r="J33" s="76"/>
      <c r="K33" s="76"/>
    </row>
    <row r="34" spans="1:11" s="65" customFormat="1" ht="54" x14ac:dyDescent="0.3">
      <c r="A34" s="72">
        <v>33</v>
      </c>
      <c r="B34" s="75" t="s">
        <v>201</v>
      </c>
      <c r="C34" s="76" t="s">
        <v>202</v>
      </c>
      <c r="D34" s="76" t="s">
        <v>79</v>
      </c>
      <c r="E34" s="76" t="s">
        <v>68</v>
      </c>
      <c r="F34" s="76" t="s">
        <v>226</v>
      </c>
      <c r="G34" s="77" t="s">
        <v>266</v>
      </c>
      <c r="H34" s="76" t="s">
        <v>29</v>
      </c>
      <c r="I34" s="76" t="s">
        <v>223</v>
      </c>
      <c r="J34" s="76"/>
      <c r="K34" s="76"/>
    </row>
    <row r="35" spans="1:11" s="64" customFormat="1" ht="40.5" x14ac:dyDescent="0.3">
      <c r="A35" s="72">
        <v>34</v>
      </c>
      <c r="B35" s="75" t="s">
        <v>80</v>
      </c>
      <c r="C35" s="76" t="s">
        <v>204</v>
      </c>
      <c r="D35" s="78" t="s">
        <v>203</v>
      </c>
      <c r="E35" s="78" t="s">
        <v>81</v>
      </c>
      <c r="F35" s="78" t="s">
        <v>82</v>
      </c>
      <c r="G35" s="77" t="s">
        <v>267</v>
      </c>
      <c r="H35" s="72" t="s">
        <v>227</v>
      </c>
      <c r="I35" s="75" t="s">
        <v>222</v>
      </c>
      <c r="J35" s="72"/>
      <c r="K35" s="72"/>
    </row>
    <row r="36" spans="1:11" s="64" customFormat="1" ht="40.5" x14ac:dyDescent="0.3">
      <c r="A36" s="72">
        <v>35</v>
      </c>
      <c r="B36" s="75" t="s">
        <v>84</v>
      </c>
      <c r="C36" s="76" t="s">
        <v>205</v>
      </c>
      <c r="D36" s="72" t="s">
        <v>203</v>
      </c>
      <c r="E36" s="72" t="s">
        <v>81</v>
      </c>
      <c r="F36" s="72" t="s">
        <v>85</v>
      </c>
      <c r="G36" s="87" t="s">
        <v>268</v>
      </c>
      <c r="H36" s="72" t="s">
        <v>26</v>
      </c>
      <c r="I36" s="72" t="s">
        <v>83</v>
      </c>
      <c r="J36" s="72"/>
      <c r="K36" s="72"/>
    </row>
    <row r="37" spans="1:11" s="64" customFormat="1" ht="54" x14ac:dyDescent="0.3">
      <c r="A37" s="72">
        <v>36</v>
      </c>
      <c r="B37" s="73" t="s">
        <v>86</v>
      </c>
      <c r="C37" s="76" t="s">
        <v>208</v>
      </c>
      <c r="D37" s="72" t="s">
        <v>206</v>
      </c>
      <c r="E37" s="72" t="s">
        <v>207</v>
      </c>
      <c r="F37" s="72" t="s">
        <v>87</v>
      </c>
      <c r="G37" s="77" t="s">
        <v>269</v>
      </c>
      <c r="H37" s="72" t="s">
        <v>26</v>
      </c>
      <c r="I37" s="72" t="s">
        <v>36</v>
      </c>
      <c r="J37" s="72"/>
      <c r="K37" s="72"/>
    </row>
    <row r="38" spans="1:11" s="64" customFormat="1" ht="135" x14ac:dyDescent="0.3">
      <c r="A38" s="72">
        <v>37</v>
      </c>
      <c r="B38" s="73" t="s">
        <v>88</v>
      </c>
      <c r="C38" s="76" t="s">
        <v>211</v>
      </c>
      <c r="D38" s="72" t="s">
        <v>209</v>
      </c>
      <c r="E38" s="72" t="s">
        <v>210</v>
      </c>
      <c r="F38" s="72" t="s">
        <v>89</v>
      </c>
      <c r="G38" s="74" t="s">
        <v>270</v>
      </c>
      <c r="H38" s="72" t="s">
        <v>26</v>
      </c>
      <c r="I38" s="73" t="s">
        <v>24</v>
      </c>
      <c r="J38" s="72"/>
      <c r="K38" s="72"/>
    </row>
    <row r="39" spans="1:11" s="64" customFormat="1" ht="40.5" x14ac:dyDescent="0.3">
      <c r="A39" s="72">
        <v>38</v>
      </c>
      <c r="B39" s="73" t="s">
        <v>90</v>
      </c>
      <c r="C39" s="76" t="s">
        <v>213</v>
      </c>
      <c r="D39" s="72" t="s">
        <v>212</v>
      </c>
      <c r="E39" s="72" t="s">
        <v>210</v>
      </c>
      <c r="F39" s="72" t="s">
        <v>91</v>
      </c>
      <c r="G39" s="74" t="s">
        <v>271</v>
      </c>
      <c r="H39" s="72" t="s">
        <v>26</v>
      </c>
      <c r="I39" s="72" t="s">
        <v>36</v>
      </c>
      <c r="J39" s="73"/>
      <c r="K39" s="73"/>
    </row>
    <row r="40" spans="1:11" x14ac:dyDescent="0.3">
      <c r="A40" s="36"/>
      <c r="B40" s="37"/>
      <c r="C40" s="42"/>
      <c r="D40" s="39"/>
      <c r="E40" s="39"/>
      <c r="F40" s="50"/>
      <c r="G40" s="51"/>
      <c r="H40" s="36"/>
      <c r="I40" s="41"/>
      <c r="J40" s="36"/>
      <c r="K40" s="36"/>
    </row>
    <row r="41" spans="1:11" x14ac:dyDescent="0.3">
      <c r="A41" s="36"/>
      <c r="B41" s="44"/>
      <c r="C41" s="46"/>
      <c r="D41" s="39"/>
      <c r="E41" s="39"/>
      <c r="F41" s="50"/>
      <c r="G41" s="51"/>
      <c r="H41" s="36"/>
      <c r="I41" s="44"/>
      <c r="J41" s="36"/>
      <c r="K41" s="36"/>
    </row>
    <row r="42" spans="1:11" x14ac:dyDescent="0.3">
      <c r="A42" s="36"/>
      <c r="B42" s="36"/>
      <c r="C42" s="46"/>
      <c r="D42" s="39"/>
      <c r="E42" s="39"/>
      <c r="F42" s="50"/>
      <c r="G42" s="51"/>
      <c r="H42" s="36"/>
      <c r="I42" s="44"/>
      <c r="J42" s="36"/>
      <c r="K42" s="36"/>
    </row>
    <row r="43" spans="1:11" x14ac:dyDescent="0.3">
      <c r="A43" s="36"/>
      <c r="B43" s="36"/>
      <c r="C43" s="46"/>
      <c r="D43" s="39"/>
      <c r="E43" s="39"/>
      <c r="F43" s="50"/>
      <c r="G43" s="52"/>
      <c r="H43" s="36"/>
      <c r="I43" s="44"/>
      <c r="J43" s="36"/>
      <c r="K43" s="36"/>
    </row>
    <row r="44" spans="1:11" x14ac:dyDescent="0.3">
      <c r="A44" s="36"/>
      <c r="B44" s="36"/>
      <c r="C44" s="46"/>
      <c r="D44" s="39"/>
      <c r="E44" s="39"/>
      <c r="F44" s="50"/>
      <c r="G44" s="52"/>
      <c r="H44" s="36"/>
      <c r="I44" s="44"/>
      <c r="J44" s="36"/>
      <c r="K44" s="36"/>
    </row>
    <row r="45" spans="1:11" x14ac:dyDescent="0.3">
      <c r="A45" s="36"/>
      <c r="B45" s="36"/>
      <c r="C45" s="46"/>
      <c r="D45" s="39"/>
      <c r="E45" s="39"/>
      <c r="F45" s="50"/>
      <c r="G45" s="51"/>
      <c r="H45" s="36"/>
      <c r="I45" s="44"/>
      <c r="J45" s="36"/>
      <c r="K45" s="36"/>
    </row>
    <row r="46" spans="1:11" x14ac:dyDescent="0.3">
      <c r="A46" s="36"/>
      <c r="B46" s="36"/>
      <c r="C46" s="61"/>
      <c r="D46" s="39"/>
      <c r="E46" s="39"/>
      <c r="F46" s="62"/>
      <c r="G46" s="63"/>
      <c r="H46" s="36"/>
      <c r="I46" s="44"/>
      <c r="J46" s="36"/>
      <c r="K46" s="36"/>
    </row>
    <row r="47" spans="1:11" x14ac:dyDescent="0.3">
      <c r="A47" s="36"/>
      <c r="B47" s="36"/>
      <c r="C47" s="46"/>
      <c r="D47" s="39"/>
      <c r="E47" s="39"/>
      <c r="F47" s="38"/>
      <c r="G47" s="47"/>
      <c r="H47" s="36"/>
      <c r="I47" s="44"/>
      <c r="J47" s="36"/>
      <c r="K47" s="36"/>
    </row>
    <row r="48" spans="1:11" x14ac:dyDescent="0.3">
      <c r="A48" s="36"/>
      <c r="B48" s="36"/>
      <c r="C48" s="46"/>
      <c r="D48" s="39"/>
      <c r="E48" s="39"/>
      <c r="F48" s="50"/>
      <c r="G48" s="51"/>
      <c r="H48" s="36"/>
      <c r="I48" s="44"/>
      <c r="J48" s="36"/>
      <c r="K48" s="36"/>
    </row>
    <row r="49" spans="1:11" x14ac:dyDescent="0.3">
      <c r="A49" s="36"/>
      <c r="B49" s="36"/>
      <c r="C49" s="46"/>
      <c r="D49" s="39"/>
      <c r="E49" s="39"/>
      <c r="F49" s="50"/>
      <c r="G49" s="51"/>
      <c r="H49" s="36"/>
      <c r="I49" s="44"/>
      <c r="J49" s="36"/>
      <c r="K49" s="36"/>
    </row>
    <row r="50" spans="1:11" x14ac:dyDescent="0.3">
      <c r="A50" s="36"/>
      <c r="B50" s="36"/>
      <c r="C50" s="40"/>
      <c r="D50" s="36"/>
      <c r="E50" s="36"/>
      <c r="F50" s="53"/>
      <c r="G50" s="38"/>
      <c r="H50" s="36"/>
      <c r="I50" s="36"/>
      <c r="J50" s="36"/>
      <c r="K50" s="36"/>
    </row>
    <row r="51" spans="1:11" x14ac:dyDescent="0.3">
      <c r="A51" s="36"/>
      <c r="B51" s="36"/>
      <c r="C51" s="46"/>
      <c r="D51" s="39"/>
      <c r="E51" s="39"/>
      <c r="F51" s="54"/>
      <c r="G51" s="54"/>
      <c r="H51" s="36"/>
      <c r="I51" s="44"/>
      <c r="J51" s="36"/>
      <c r="K51" s="36"/>
    </row>
    <row r="52" spans="1:11" x14ac:dyDescent="0.3">
      <c r="A52" s="36"/>
      <c r="B52" s="36"/>
      <c r="C52" s="46"/>
      <c r="D52" s="39"/>
      <c r="E52" s="39"/>
      <c r="F52" s="54"/>
      <c r="G52" s="54"/>
      <c r="H52" s="36"/>
      <c r="I52" s="44"/>
      <c r="J52" s="36"/>
      <c r="K52" s="36"/>
    </row>
    <row r="53" spans="1:11" x14ac:dyDescent="0.3">
      <c r="A53" s="36"/>
      <c r="B53" s="36"/>
      <c r="C53" s="46"/>
      <c r="D53" s="39"/>
      <c r="E53" s="39"/>
      <c r="F53" s="50"/>
      <c r="G53" s="51"/>
      <c r="H53" s="36"/>
      <c r="I53" s="44"/>
      <c r="J53" s="36"/>
      <c r="K53" s="36"/>
    </row>
    <row r="54" spans="1:11" x14ac:dyDescent="0.3">
      <c r="A54" s="36"/>
      <c r="B54" s="36"/>
      <c r="C54" s="46"/>
      <c r="D54" s="39"/>
      <c r="E54" s="39"/>
      <c r="F54" s="50"/>
      <c r="G54" s="51"/>
      <c r="H54" s="36"/>
      <c r="I54" s="44"/>
      <c r="J54" s="36"/>
      <c r="K54" s="36"/>
    </row>
    <row r="55" spans="1:11" x14ac:dyDescent="0.3">
      <c r="A55" s="36"/>
      <c r="B55" s="36"/>
      <c r="C55" s="40"/>
      <c r="D55" s="39"/>
      <c r="E55" s="39"/>
      <c r="F55" s="55"/>
      <c r="G55" s="51"/>
      <c r="H55" s="36"/>
      <c r="I55" s="41"/>
      <c r="J55" s="36"/>
      <c r="K55" s="36"/>
    </row>
    <row r="56" spans="1:11" x14ac:dyDescent="0.3">
      <c r="A56" s="36"/>
      <c r="B56" s="36"/>
      <c r="C56" s="40"/>
      <c r="D56" s="39"/>
      <c r="E56" s="39"/>
      <c r="F56" s="50"/>
      <c r="G56" s="51"/>
      <c r="H56" s="36"/>
      <c r="I56" s="41"/>
      <c r="J56" s="36"/>
      <c r="K56" s="36"/>
    </row>
    <row r="57" spans="1:11" x14ac:dyDescent="0.3">
      <c r="A57" s="36"/>
      <c r="B57" s="36"/>
      <c r="C57" s="40"/>
      <c r="D57" s="39"/>
      <c r="E57" s="39"/>
      <c r="F57" s="50"/>
      <c r="G57" s="51"/>
      <c r="H57" s="36"/>
      <c r="I57" s="41"/>
      <c r="J57" s="36"/>
      <c r="K57" s="36"/>
    </row>
    <row r="58" spans="1:11" x14ac:dyDescent="0.3">
      <c r="A58" s="36"/>
      <c r="B58" s="36"/>
      <c r="C58" s="40"/>
      <c r="D58" s="39"/>
      <c r="E58" s="39"/>
      <c r="F58" s="50"/>
      <c r="G58" s="51"/>
      <c r="H58" s="36"/>
      <c r="I58" s="41"/>
      <c r="J58" s="36"/>
      <c r="K58" s="36"/>
    </row>
    <row r="59" spans="1:11" x14ac:dyDescent="0.3">
      <c r="A59" s="36"/>
      <c r="B59" s="36"/>
      <c r="C59" s="40"/>
      <c r="D59" s="39"/>
      <c r="E59" s="56"/>
      <c r="F59" s="50"/>
      <c r="G59" s="57"/>
      <c r="H59" s="36"/>
      <c r="I59" s="41"/>
      <c r="J59" s="42"/>
      <c r="K59" s="41"/>
    </row>
    <row r="60" spans="1:11" x14ac:dyDescent="0.3">
      <c r="A60" s="36"/>
      <c r="B60" s="36"/>
      <c r="C60" s="40"/>
      <c r="D60" s="39"/>
      <c r="E60" s="56"/>
      <c r="F60" s="50"/>
      <c r="G60" s="57"/>
      <c r="H60" s="36"/>
      <c r="I60" s="41"/>
      <c r="J60" s="42"/>
      <c r="K60" s="41"/>
    </row>
    <row r="61" spans="1:11" x14ac:dyDescent="0.3">
      <c r="A61" s="36"/>
      <c r="B61" s="36"/>
      <c r="C61" s="40"/>
      <c r="D61" s="45"/>
      <c r="E61" s="56"/>
      <c r="F61" s="54"/>
      <c r="G61" s="58"/>
      <c r="H61" s="36"/>
      <c r="I61" s="36"/>
      <c r="J61" s="42"/>
      <c r="K61" s="41"/>
    </row>
    <row r="62" spans="1:11" x14ac:dyDescent="0.3">
      <c r="A62" s="36"/>
      <c r="B62" s="36"/>
      <c r="C62" s="40"/>
      <c r="D62" s="45"/>
      <c r="E62" s="56"/>
      <c r="F62" s="54"/>
      <c r="G62" s="58"/>
      <c r="H62" s="36"/>
      <c r="I62" s="36"/>
      <c r="J62" s="42"/>
      <c r="K62" s="41"/>
    </row>
    <row r="63" spans="1:11" x14ac:dyDescent="0.3">
      <c r="A63" s="36"/>
      <c r="B63" s="36"/>
      <c r="C63" s="40"/>
      <c r="D63" s="45"/>
      <c r="E63" s="56"/>
      <c r="F63" s="53"/>
      <c r="G63" s="58"/>
      <c r="H63" s="36"/>
      <c r="I63" s="36"/>
      <c r="J63" s="42"/>
      <c r="K63" s="41"/>
    </row>
    <row r="64" spans="1:11" x14ac:dyDescent="0.3">
      <c r="A64" s="36"/>
      <c r="B64" s="36"/>
      <c r="C64" s="40"/>
      <c r="D64" s="45"/>
      <c r="E64" s="56"/>
      <c r="F64" s="53"/>
      <c r="G64" s="58"/>
      <c r="H64" s="36"/>
      <c r="I64" s="36"/>
      <c r="J64" s="42"/>
      <c r="K64" s="41"/>
    </row>
    <row r="65" spans="1:11" x14ac:dyDescent="0.3">
      <c r="A65" s="36"/>
      <c r="B65" s="44"/>
      <c r="C65" s="40"/>
      <c r="D65" s="49"/>
      <c r="E65" s="56"/>
      <c r="F65" s="50"/>
      <c r="G65" s="59"/>
      <c r="H65" s="36"/>
      <c r="I65" s="41"/>
      <c r="J65" s="36"/>
      <c r="K65" s="36"/>
    </row>
    <row r="66" spans="1:11" x14ac:dyDescent="0.3">
      <c r="A66" s="36"/>
      <c r="B66" s="48"/>
      <c r="C66" s="40"/>
      <c r="D66" s="49"/>
      <c r="E66" s="56"/>
      <c r="F66" s="50"/>
      <c r="G66" s="59"/>
      <c r="H66" s="36"/>
      <c r="I66" s="41"/>
      <c r="J66" s="36"/>
      <c r="K66" s="36"/>
    </row>
    <row r="67" spans="1:11" x14ac:dyDescent="0.3">
      <c r="A67" s="36"/>
      <c r="B67" s="36"/>
      <c r="C67" s="40"/>
      <c r="D67" s="49"/>
      <c r="E67" s="56"/>
      <c r="F67" s="50"/>
      <c r="G67" s="54"/>
      <c r="H67" s="36"/>
      <c r="I67" s="41"/>
      <c r="J67" s="36"/>
      <c r="K67" s="36"/>
    </row>
    <row r="68" spans="1:11" x14ac:dyDescent="0.3">
      <c r="A68" s="36"/>
      <c r="B68" s="36"/>
      <c r="C68" s="40"/>
      <c r="D68" s="49"/>
      <c r="E68" s="56"/>
      <c r="F68" s="50"/>
      <c r="G68" s="54"/>
      <c r="H68" s="36"/>
      <c r="I68" s="36"/>
      <c r="J68" s="36"/>
      <c r="K68" s="36"/>
    </row>
    <row r="69" spans="1:11" x14ac:dyDescent="0.3">
      <c r="A69" s="36"/>
      <c r="B69" s="36"/>
      <c r="C69" s="40"/>
      <c r="D69" s="49"/>
      <c r="E69" s="56"/>
      <c r="F69" s="50"/>
      <c r="G69" s="60"/>
      <c r="H69" s="36"/>
      <c r="I69" s="36"/>
      <c r="J69" s="36"/>
      <c r="K69" s="36"/>
    </row>
    <row r="70" spans="1:11" x14ac:dyDescent="0.3">
      <c r="A70" s="36"/>
      <c r="B70" s="36"/>
      <c r="C70" s="40"/>
      <c r="D70" s="49"/>
      <c r="E70" s="56"/>
      <c r="F70" s="50"/>
      <c r="G70" s="60"/>
      <c r="H70" s="36"/>
      <c r="I70" s="36"/>
      <c r="J70" s="36"/>
      <c r="K70" s="36"/>
    </row>
    <row r="71" spans="1:11" x14ac:dyDescent="0.3">
      <c r="A71" s="36"/>
      <c r="B71" s="36"/>
      <c r="C71" s="40"/>
      <c r="D71" s="36"/>
      <c r="E71" s="36"/>
      <c r="F71" s="38"/>
      <c r="G71" s="38"/>
      <c r="H71" s="36"/>
      <c r="I71" s="36"/>
      <c r="J71" s="36"/>
      <c r="K71" s="36"/>
    </row>
    <row r="72" spans="1:11" x14ac:dyDescent="0.3">
      <c r="A72" s="36"/>
      <c r="B72" s="36"/>
      <c r="C72" s="40"/>
      <c r="D72" s="36"/>
      <c r="E72" s="36"/>
      <c r="F72" s="38"/>
      <c r="G72" s="38"/>
      <c r="H72" s="36"/>
      <c r="I72" s="36"/>
      <c r="J72" s="36"/>
      <c r="K72" s="36"/>
    </row>
    <row r="73" spans="1:11" x14ac:dyDescent="0.3">
      <c r="A73" s="36"/>
      <c r="B73" s="36"/>
      <c r="C73" s="38"/>
      <c r="D73" s="36"/>
      <c r="E73" s="36"/>
      <c r="F73" s="38"/>
      <c r="G73" s="47"/>
      <c r="H73" s="36"/>
      <c r="I73" s="36"/>
      <c r="J73" s="36"/>
      <c r="K73" s="36"/>
    </row>
    <row r="74" spans="1:11" x14ac:dyDescent="0.3">
      <c r="A74" s="36"/>
      <c r="B74" s="36"/>
      <c r="C74" s="38"/>
      <c r="D74" s="36"/>
      <c r="E74" s="36"/>
      <c r="F74" s="38"/>
      <c r="G74" s="51"/>
      <c r="H74" s="36"/>
      <c r="I74" s="36"/>
      <c r="J74" s="36"/>
      <c r="K74" s="36"/>
    </row>
    <row r="75" spans="1:11" x14ac:dyDescent="0.3">
      <c r="A75" s="36"/>
      <c r="B75" s="36"/>
      <c r="C75" s="40"/>
      <c r="D75" s="36"/>
      <c r="E75" s="36"/>
      <c r="F75" s="53"/>
      <c r="G75" s="38"/>
      <c r="H75" s="36"/>
      <c r="I75" s="36"/>
      <c r="J75" s="36"/>
      <c r="K75" s="36"/>
    </row>
    <row r="76" spans="1:11" x14ac:dyDescent="0.3">
      <c r="A76" s="36"/>
      <c r="B76" s="36"/>
      <c r="C76" s="38"/>
      <c r="D76" s="36"/>
      <c r="E76" s="36"/>
      <c r="F76" s="38"/>
      <c r="G76" s="47"/>
      <c r="H76" s="36"/>
      <c r="I76" s="36"/>
      <c r="J76" s="36"/>
      <c r="K76" s="36"/>
    </row>
    <row r="77" spans="1:11" x14ac:dyDescent="0.3">
      <c r="A77" s="36"/>
      <c r="B77" s="36"/>
      <c r="C77" s="38"/>
      <c r="D77" s="36"/>
      <c r="E77" s="36"/>
      <c r="F77" s="38"/>
      <c r="G77" s="47"/>
      <c r="H77" s="36"/>
      <c r="I77" s="36"/>
      <c r="J77" s="36"/>
      <c r="K77" s="36"/>
    </row>
    <row r="78" spans="1:11" x14ac:dyDescent="0.3">
      <c r="A78" s="36"/>
      <c r="B78" s="36"/>
      <c r="C78" s="38"/>
      <c r="D78" s="36"/>
      <c r="E78" s="36"/>
      <c r="F78" s="38"/>
      <c r="G78" s="47"/>
      <c r="H78" s="36"/>
      <c r="I78" s="36"/>
      <c r="J78" s="36"/>
      <c r="K78" s="36"/>
    </row>
    <row r="79" spans="1:11" x14ac:dyDescent="0.3">
      <c r="A79" s="36"/>
      <c r="B79" s="36"/>
      <c r="C79" s="38"/>
      <c r="D79" s="36"/>
      <c r="E79" s="36"/>
      <c r="F79" s="38"/>
      <c r="G79" s="47"/>
      <c r="H79" s="36"/>
      <c r="I79" s="36"/>
      <c r="J79" s="36"/>
      <c r="K79" s="36"/>
    </row>
    <row r="80" spans="1:11" x14ac:dyDescent="0.3">
      <c r="A80" s="36"/>
      <c r="B80" s="36"/>
      <c r="C80" s="38"/>
      <c r="D80" s="36"/>
      <c r="E80" s="36"/>
      <c r="F80" s="38"/>
      <c r="G80" s="47"/>
      <c r="H80" s="36"/>
      <c r="I80" s="36"/>
      <c r="J80" s="36"/>
      <c r="K80" s="36"/>
    </row>
  </sheetData>
  <autoFilter ref="A1:K80" xr:uid="{00000000-0009-0000-0000-000003000000}"/>
  <phoneticPr fontId="1" type="noConversion"/>
  <pageMargins left="0.7" right="0.7" top="0.75" bottom="0.75" header="0.3" footer="0.3"/>
  <pageSetup paperSize="9" scale="3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"/>
  <sheetViews>
    <sheetView workbookViewId="0">
      <selection activeCell="F3" sqref="F3"/>
    </sheetView>
  </sheetViews>
  <sheetFormatPr defaultRowHeight="16.5" x14ac:dyDescent="0.3"/>
  <cols>
    <col min="1" max="1" width="4.375" bestFit="1" customWidth="1"/>
    <col min="2" max="2" width="9.75" bestFit="1" customWidth="1"/>
    <col min="3" max="3" width="15.125" bestFit="1" customWidth="1"/>
    <col min="4" max="4" width="20.125" bestFit="1" customWidth="1"/>
    <col min="5" max="5" width="18.875" bestFit="1" customWidth="1"/>
    <col min="6" max="6" width="58.25" bestFit="1" customWidth="1"/>
    <col min="7" max="7" width="90" bestFit="1" customWidth="1"/>
    <col min="8" max="8" width="29" bestFit="1" customWidth="1"/>
    <col min="9" max="9" width="54.25" bestFit="1" customWidth="1"/>
    <col min="10" max="10" width="105.25" bestFit="1" customWidth="1"/>
    <col min="11" max="11" width="109.25" bestFit="1" customWidth="1"/>
    <col min="12" max="12" width="141.875" bestFit="1" customWidth="1"/>
    <col min="13" max="13" width="8" bestFit="1" customWidth="1"/>
    <col min="14" max="15" width="4.75" bestFit="1" customWidth="1"/>
    <col min="16" max="16" width="8" bestFit="1" customWidth="1"/>
    <col min="17" max="17" width="9.75" bestFit="1" customWidth="1"/>
    <col min="18" max="18" width="5" bestFit="1" customWidth="1"/>
    <col min="19" max="19" width="9.625" bestFit="1" customWidth="1"/>
    <col min="20" max="21" width="8" bestFit="1" customWidth="1"/>
    <col min="22" max="22" width="4.75" bestFit="1" customWidth="1"/>
  </cols>
  <sheetData>
    <row r="1" spans="1:22" ht="40.5" x14ac:dyDescent="0.3">
      <c r="A1" s="31" t="s">
        <v>0</v>
      </c>
      <c r="B1" s="32" t="s">
        <v>2</v>
      </c>
      <c r="C1" s="32" t="s">
        <v>3</v>
      </c>
      <c r="D1" s="33" t="s">
        <v>4</v>
      </c>
      <c r="E1" s="34" t="s">
        <v>92</v>
      </c>
      <c r="F1" s="33" t="s">
        <v>6</v>
      </c>
      <c r="G1" s="33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1" t="s">
        <v>13</v>
      </c>
      <c r="N1" s="1" t="s">
        <v>93</v>
      </c>
      <c r="O1" s="1" t="s">
        <v>94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67.5" x14ac:dyDescent="0.3">
      <c r="A2" s="15">
        <v>1</v>
      </c>
      <c r="B2" s="29" t="s">
        <v>95</v>
      </c>
      <c r="C2" s="24" t="s">
        <v>96</v>
      </c>
      <c r="D2" s="24" t="s">
        <v>97</v>
      </c>
      <c r="E2" s="3" t="str">
        <f t="shared" ref="E2:E10" si="0" xml:space="preserve"> "RQ-EXCLUDED-00"&amp;A2</f>
        <v>RQ-EXCLUDED-001</v>
      </c>
      <c r="F2" s="24" t="s">
        <v>98</v>
      </c>
      <c r="G2" s="17" t="s">
        <v>99</v>
      </c>
      <c r="H2" s="6" t="s">
        <v>100</v>
      </c>
      <c r="I2" s="7"/>
      <c r="J2" s="6"/>
      <c r="K2" s="6"/>
      <c r="L2" s="6"/>
      <c r="M2" s="7" t="s">
        <v>23</v>
      </c>
      <c r="N2" s="6" t="s">
        <v>38</v>
      </c>
      <c r="O2" s="6" t="s">
        <v>63</v>
      </c>
      <c r="P2" s="6" t="s">
        <v>101</v>
      </c>
      <c r="Q2" s="7" t="s">
        <v>102</v>
      </c>
      <c r="R2" s="7" t="s">
        <v>39</v>
      </c>
      <c r="S2" s="7" t="s">
        <v>103</v>
      </c>
      <c r="T2" s="7"/>
      <c r="U2" s="7"/>
      <c r="V2" s="7"/>
    </row>
    <row r="3" spans="1:22" ht="66" x14ac:dyDescent="0.3">
      <c r="A3" s="15">
        <f t="shared" ref="A3:A13" si="1">A2+1</f>
        <v>2</v>
      </c>
      <c r="B3" s="29" t="s">
        <v>95</v>
      </c>
      <c r="C3" s="24" t="s">
        <v>104</v>
      </c>
      <c r="D3" s="10" t="s">
        <v>105</v>
      </c>
      <c r="E3" s="3" t="str">
        <f t="shared" si="0"/>
        <v>RQ-EXCLUDED-002</v>
      </c>
      <c r="F3" s="24" t="s">
        <v>106</v>
      </c>
      <c r="G3" s="11" t="s">
        <v>107</v>
      </c>
      <c r="H3" s="6" t="s">
        <v>100</v>
      </c>
      <c r="I3" s="7"/>
      <c r="J3" s="6"/>
      <c r="K3" s="6"/>
      <c r="L3" s="6"/>
      <c r="M3" s="7" t="s">
        <v>23</v>
      </c>
      <c r="N3" s="6" t="s">
        <v>38</v>
      </c>
      <c r="O3" s="6" t="s">
        <v>63</v>
      </c>
      <c r="P3" s="6" t="s">
        <v>101</v>
      </c>
      <c r="Q3" s="7" t="s">
        <v>102</v>
      </c>
      <c r="R3" s="7" t="s">
        <v>39</v>
      </c>
      <c r="S3" s="7" t="s">
        <v>103</v>
      </c>
      <c r="T3" s="7"/>
      <c r="U3" s="7"/>
      <c r="V3" s="7"/>
    </row>
    <row r="4" spans="1:22" ht="67.5" x14ac:dyDescent="0.3">
      <c r="A4" s="15">
        <f t="shared" si="1"/>
        <v>3</v>
      </c>
      <c r="B4" s="29" t="s">
        <v>95</v>
      </c>
      <c r="C4" s="24" t="s">
        <v>104</v>
      </c>
      <c r="D4" s="24" t="s">
        <v>97</v>
      </c>
      <c r="E4" s="3" t="str">
        <f t="shared" si="0"/>
        <v>RQ-EXCLUDED-003</v>
      </c>
      <c r="F4" s="24" t="s">
        <v>108</v>
      </c>
      <c r="G4" s="18" t="s">
        <v>99</v>
      </c>
      <c r="H4" s="6" t="s">
        <v>100</v>
      </c>
      <c r="I4" s="7"/>
      <c r="J4" s="6"/>
      <c r="K4" s="6"/>
      <c r="L4" s="6"/>
      <c r="M4" s="6" t="s">
        <v>23</v>
      </c>
      <c r="N4" s="6" t="s">
        <v>38</v>
      </c>
      <c r="O4" s="6" t="s">
        <v>63</v>
      </c>
      <c r="P4" s="6" t="s">
        <v>101</v>
      </c>
      <c r="Q4" s="7" t="s">
        <v>102</v>
      </c>
      <c r="R4" s="7" t="s">
        <v>39</v>
      </c>
      <c r="S4" s="7" t="s">
        <v>103</v>
      </c>
      <c r="T4" s="7"/>
      <c r="U4" s="7"/>
      <c r="V4" s="7"/>
    </row>
    <row r="5" spans="1:22" ht="66" x14ac:dyDescent="0.3">
      <c r="A5" s="15">
        <f t="shared" si="1"/>
        <v>4</v>
      </c>
      <c r="B5" s="19" t="s">
        <v>109</v>
      </c>
      <c r="C5" s="24" t="s">
        <v>110</v>
      </c>
      <c r="D5" s="24" t="s">
        <v>111</v>
      </c>
      <c r="E5" s="3" t="str">
        <f t="shared" si="0"/>
        <v>RQ-EXCLUDED-004</v>
      </c>
      <c r="F5" s="13" t="s">
        <v>112</v>
      </c>
      <c r="G5" s="20" t="s">
        <v>113</v>
      </c>
      <c r="H5" s="6" t="s">
        <v>100</v>
      </c>
      <c r="I5" s="7"/>
      <c r="J5" s="6"/>
      <c r="K5" s="6"/>
      <c r="L5" s="6"/>
      <c r="M5" s="7" t="s">
        <v>23</v>
      </c>
      <c r="N5" s="6" t="s">
        <v>63</v>
      </c>
      <c r="O5" s="6" t="s">
        <v>38</v>
      </c>
      <c r="P5" s="6" t="s">
        <v>101</v>
      </c>
      <c r="Q5" s="7" t="s">
        <v>102</v>
      </c>
      <c r="R5" s="7" t="s">
        <v>39</v>
      </c>
      <c r="S5" s="7" t="s">
        <v>103</v>
      </c>
      <c r="T5" s="7"/>
      <c r="U5" s="7"/>
      <c r="V5" s="6"/>
    </row>
    <row r="6" spans="1:22" ht="66" x14ac:dyDescent="0.3">
      <c r="A6" s="15">
        <f t="shared" si="1"/>
        <v>5</v>
      </c>
      <c r="B6" s="19" t="s">
        <v>109</v>
      </c>
      <c r="C6" s="24" t="s">
        <v>110</v>
      </c>
      <c r="D6" s="24" t="s">
        <v>114</v>
      </c>
      <c r="E6" s="3" t="str">
        <f t="shared" si="0"/>
        <v>RQ-EXCLUDED-005</v>
      </c>
      <c r="F6" s="13" t="s">
        <v>115</v>
      </c>
      <c r="G6" s="21" t="s">
        <v>116</v>
      </c>
      <c r="H6" s="6" t="s">
        <v>100</v>
      </c>
      <c r="I6" s="7"/>
      <c r="J6" s="6"/>
      <c r="K6" s="6"/>
      <c r="L6" s="6"/>
      <c r="M6" s="7" t="s">
        <v>23</v>
      </c>
      <c r="N6" s="6" t="s">
        <v>63</v>
      </c>
      <c r="O6" s="6" t="s">
        <v>38</v>
      </c>
      <c r="P6" s="6" t="s">
        <v>101</v>
      </c>
      <c r="Q6" s="7" t="s">
        <v>102</v>
      </c>
      <c r="R6" s="7" t="s">
        <v>39</v>
      </c>
      <c r="S6" s="7" t="s">
        <v>103</v>
      </c>
      <c r="T6" s="7"/>
      <c r="U6" s="7"/>
      <c r="V6" s="6"/>
    </row>
    <row r="7" spans="1:22" ht="66" x14ac:dyDescent="0.3">
      <c r="A7" s="15">
        <f t="shared" si="1"/>
        <v>6</v>
      </c>
      <c r="B7" s="19" t="s">
        <v>109</v>
      </c>
      <c r="C7" s="25" t="s">
        <v>117</v>
      </c>
      <c r="D7" s="24" t="s">
        <v>118</v>
      </c>
      <c r="E7" s="3" t="str">
        <f t="shared" si="0"/>
        <v>RQ-EXCLUDED-006</v>
      </c>
      <c r="F7" s="13" t="s">
        <v>119</v>
      </c>
      <c r="G7" s="20" t="s">
        <v>120</v>
      </c>
      <c r="H7" s="6" t="s">
        <v>100</v>
      </c>
      <c r="I7" s="7"/>
      <c r="J7" s="6"/>
      <c r="K7" s="6"/>
      <c r="L7" s="6"/>
      <c r="M7" s="7" t="s">
        <v>23</v>
      </c>
      <c r="N7" s="6" t="s">
        <v>63</v>
      </c>
      <c r="O7" s="6" t="s">
        <v>38</v>
      </c>
      <c r="P7" s="6" t="s">
        <v>101</v>
      </c>
      <c r="Q7" s="7" t="s">
        <v>102</v>
      </c>
      <c r="R7" s="7" t="s">
        <v>39</v>
      </c>
      <c r="S7" s="7" t="s">
        <v>103</v>
      </c>
      <c r="T7" s="7"/>
      <c r="U7" s="7"/>
      <c r="V7" s="6"/>
    </row>
    <row r="8" spans="1:22" ht="66" x14ac:dyDescent="0.3">
      <c r="A8" s="15">
        <f t="shared" si="1"/>
        <v>7</v>
      </c>
      <c r="B8" s="19" t="s">
        <v>109</v>
      </c>
      <c r="C8" s="25" t="s">
        <v>117</v>
      </c>
      <c r="D8" s="24" t="s">
        <v>121</v>
      </c>
      <c r="E8" s="3" t="str">
        <f t="shared" si="0"/>
        <v>RQ-EXCLUDED-007</v>
      </c>
      <c r="F8" s="22" t="s">
        <v>122</v>
      </c>
      <c r="G8" s="20" t="s">
        <v>123</v>
      </c>
      <c r="H8" s="6" t="s">
        <v>100</v>
      </c>
      <c r="I8" s="7"/>
      <c r="J8" s="6"/>
      <c r="K8" s="6"/>
      <c r="L8" s="6"/>
      <c r="M8" s="7" t="s">
        <v>23</v>
      </c>
      <c r="N8" s="6" t="s">
        <v>44</v>
      </c>
      <c r="O8" s="6" t="s">
        <v>38</v>
      </c>
      <c r="P8" s="6" t="s">
        <v>101</v>
      </c>
      <c r="Q8" s="7" t="s">
        <v>102</v>
      </c>
      <c r="R8" s="7" t="s">
        <v>39</v>
      </c>
      <c r="S8" s="7" t="s">
        <v>103</v>
      </c>
      <c r="T8" s="7"/>
      <c r="U8" s="7"/>
      <c r="V8" s="6"/>
    </row>
    <row r="9" spans="1:22" ht="66" x14ac:dyDescent="0.3">
      <c r="A9" s="15">
        <f t="shared" si="1"/>
        <v>8</v>
      </c>
      <c r="B9" s="23" t="s">
        <v>124</v>
      </c>
      <c r="C9" s="12" t="s">
        <v>125</v>
      </c>
      <c r="D9" s="24" t="s">
        <v>125</v>
      </c>
      <c r="E9" s="3" t="str">
        <f t="shared" si="0"/>
        <v>RQ-EXCLUDED-008</v>
      </c>
      <c r="F9" s="13" t="s">
        <v>126</v>
      </c>
      <c r="G9" s="14" t="s">
        <v>127</v>
      </c>
      <c r="H9" s="6" t="s">
        <v>100</v>
      </c>
      <c r="I9" s="7"/>
      <c r="J9" s="6"/>
      <c r="K9" s="6"/>
      <c r="L9" s="6"/>
      <c r="M9" s="7" t="s">
        <v>23</v>
      </c>
      <c r="N9" s="6" t="s">
        <v>63</v>
      </c>
      <c r="O9" s="6" t="s">
        <v>38</v>
      </c>
      <c r="P9" s="6" t="s">
        <v>101</v>
      </c>
      <c r="Q9" s="7" t="s">
        <v>102</v>
      </c>
      <c r="R9" s="7" t="s">
        <v>39</v>
      </c>
      <c r="S9" s="7" t="s">
        <v>103</v>
      </c>
      <c r="T9" s="7"/>
      <c r="U9" s="7"/>
      <c r="V9" s="6"/>
    </row>
    <row r="10" spans="1:22" ht="66" x14ac:dyDescent="0.3">
      <c r="A10" s="15">
        <f t="shared" si="1"/>
        <v>9</v>
      </c>
      <c r="B10" s="23" t="s">
        <v>124</v>
      </c>
      <c r="C10" s="12" t="s">
        <v>128</v>
      </c>
      <c r="D10" s="24" t="s">
        <v>128</v>
      </c>
      <c r="E10" s="3" t="str">
        <f t="shared" si="0"/>
        <v>RQ-EXCLUDED-009</v>
      </c>
      <c r="F10" s="13" t="s">
        <v>129</v>
      </c>
      <c r="G10" s="14" t="s">
        <v>130</v>
      </c>
      <c r="H10" s="6" t="s">
        <v>100</v>
      </c>
      <c r="I10" s="7"/>
      <c r="J10" s="6"/>
      <c r="K10" s="6"/>
      <c r="L10" s="6"/>
      <c r="M10" s="7" t="s">
        <v>23</v>
      </c>
      <c r="N10" s="6" t="s">
        <v>63</v>
      </c>
      <c r="O10" s="6" t="s">
        <v>38</v>
      </c>
      <c r="P10" s="6" t="s">
        <v>101</v>
      </c>
      <c r="Q10" s="7" t="s">
        <v>102</v>
      </c>
      <c r="R10" s="7" t="s">
        <v>39</v>
      </c>
      <c r="S10" s="7" t="s">
        <v>103</v>
      </c>
      <c r="T10" s="7"/>
      <c r="U10" s="7"/>
      <c r="V10" s="6"/>
    </row>
    <row r="11" spans="1:22" ht="66" x14ac:dyDescent="0.3">
      <c r="A11" s="15">
        <f t="shared" si="1"/>
        <v>10</v>
      </c>
      <c r="B11" s="16" t="s">
        <v>131</v>
      </c>
      <c r="C11" s="27" t="s">
        <v>132</v>
      </c>
      <c r="D11" s="24" t="s">
        <v>133</v>
      </c>
      <c r="E11" s="3" t="str">
        <f t="shared" ref="E11:E13" si="2" xml:space="preserve"> "RQ-EXCLUDED-0"&amp;A11</f>
        <v>RQ-EXCLUDED-010</v>
      </c>
      <c r="F11" s="4" t="s">
        <v>133</v>
      </c>
      <c r="G11" s="5" t="s">
        <v>134</v>
      </c>
      <c r="H11" s="6" t="s">
        <v>100</v>
      </c>
      <c r="I11" s="7"/>
      <c r="J11" s="6"/>
      <c r="K11" s="6"/>
      <c r="L11" s="6"/>
      <c r="M11" s="7" t="s">
        <v>23</v>
      </c>
      <c r="N11" s="6" t="s">
        <v>38</v>
      </c>
      <c r="O11" s="6" t="s">
        <v>44</v>
      </c>
      <c r="P11" s="6" t="s">
        <v>101</v>
      </c>
      <c r="Q11" s="7" t="s">
        <v>102</v>
      </c>
      <c r="R11" s="7" t="s">
        <v>39</v>
      </c>
      <c r="S11" s="7" t="s">
        <v>103</v>
      </c>
      <c r="T11" s="7"/>
      <c r="U11" s="7"/>
      <c r="V11" s="7"/>
    </row>
    <row r="12" spans="1:22" ht="66" x14ac:dyDescent="0.3">
      <c r="A12" s="15">
        <f t="shared" si="1"/>
        <v>11</v>
      </c>
      <c r="B12" s="16" t="s">
        <v>131</v>
      </c>
      <c r="C12" s="28"/>
      <c r="D12" s="24" t="s">
        <v>135</v>
      </c>
      <c r="E12" s="3" t="str">
        <f t="shared" si="2"/>
        <v>RQ-EXCLUDED-011</v>
      </c>
      <c r="F12" s="8" t="s">
        <v>136</v>
      </c>
      <c r="G12" s="9" t="s">
        <v>137</v>
      </c>
      <c r="H12" s="6" t="s">
        <v>100</v>
      </c>
      <c r="I12" s="7"/>
      <c r="J12" s="6"/>
      <c r="K12" s="6"/>
      <c r="L12" s="6"/>
      <c r="M12" s="7" t="s">
        <v>23</v>
      </c>
      <c r="N12" s="6" t="s">
        <v>63</v>
      </c>
      <c r="O12" s="6" t="s">
        <v>44</v>
      </c>
      <c r="P12" s="6" t="s">
        <v>101</v>
      </c>
      <c r="Q12" s="7" t="s">
        <v>102</v>
      </c>
      <c r="R12" s="7" t="s">
        <v>39</v>
      </c>
      <c r="S12" s="7" t="s">
        <v>103</v>
      </c>
      <c r="T12" s="7"/>
      <c r="U12" s="7"/>
      <c r="V12" s="7"/>
    </row>
    <row r="13" spans="1:22" x14ac:dyDescent="0.3">
      <c r="A13" s="15">
        <f t="shared" si="1"/>
        <v>12</v>
      </c>
      <c r="B13" s="30" t="s">
        <v>138</v>
      </c>
      <c r="C13" s="26" t="s">
        <v>139</v>
      </c>
      <c r="D13" s="12" t="s">
        <v>140</v>
      </c>
      <c r="E13" s="3" t="str">
        <f t="shared" si="2"/>
        <v>RQ-EXCLUDED-012</v>
      </c>
      <c r="F13" s="8" t="s">
        <v>141</v>
      </c>
      <c r="G13" s="3"/>
      <c r="H13" s="7"/>
      <c r="I13" s="7"/>
      <c r="J13" s="7"/>
      <c r="K13" s="7"/>
      <c r="L13" s="7"/>
      <c r="M13" s="7"/>
      <c r="N13" s="7"/>
      <c r="O13" s="7"/>
      <c r="P13" s="7" t="s">
        <v>101</v>
      </c>
      <c r="Q13" s="7"/>
      <c r="R13" s="7"/>
      <c r="S13" s="7"/>
      <c r="T13" s="7"/>
      <c r="U13" s="7"/>
      <c r="V13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SRS</vt:lpstr>
      <vt:lpstr>제외된 요구사항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LGCNS</dc:creator>
  <cp:keywords/>
  <dc:description/>
  <cp:lastModifiedBy>김진환</cp:lastModifiedBy>
  <cp:revision/>
  <cp:lastPrinted>2026-05-12T00:50:25Z</cp:lastPrinted>
  <dcterms:created xsi:type="dcterms:W3CDTF">2019-08-09T21:35:32Z</dcterms:created>
  <dcterms:modified xsi:type="dcterms:W3CDTF">2026-05-12T00:50:37Z</dcterms:modified>
  <cp:category/>
  <cp:contentStatus/>
</cp:coreProperties>
</file>